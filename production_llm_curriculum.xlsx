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Referen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<sst xmlns="http://schemas.openxmlformats.org/spreadsheetml/2006/main" count="468" uniqueCount="305">
  <si>
    <t xml:space="preserve">Curriculum Dashboard</t>
  </si>
  <si>
    <t xml:space="preserve">Overall Progress</t>
  </si>
  <si>
    <t xml:space="preserve">Progress by Phase</t>
  </si>
  <si>
    <t xml:space="preserve">Phase</t>
  </si>
  <si>
    <t xml:space="preserve">Modules</t>
  </si>
  <si>
    <t xml:space="preserve">Hours</t>
  </si>
  <si>
    <t xml:space="preserve">Done</t>
  </si>
  <si>
    <t xml:space="preserve">Total Modules</t>
  </si>
  <si>
    <t xml:space="preserve">Prompt Engineering</t>
  </si>
  <si>
    <t xml:space="preserve">Complete</t>
  </si>
  <si>
    <t xml:space="preserve">System Design</t>
  </si>
  <si>
    <t xml:space="preserve">In Progress</t>
  </si>
  <si>
    <t xml:space="preserve">Production Reality</t>
  </si>
  <si>
    <t xml:space="preserve">Not Started</t>
  </si>
  <si>
    <t xml:space="preserve">Skipped</t>
  </si>
  <si>
    <t xml:space="preserve">How to use this tracker:</t>
  </si>
  <si>
    <t xml:space="preserve">1. Open the Tracker sheet — modules are in recommended order</t>
  </si>
  <si>
    <t xml:space="preserve">2. Update Status column (dropdown) as you complete each module</t>
  </si>
  <si>
    <t xml:space="preserve">3. Add personal notes (lessons learned, what broke, fixes) in Notes column</t>
  </si>
  <si>
    <t xml:space="preserve">4. Check References sheet for papers, docs, and tools per module</t>
  </si>
  <si>
    <t xml:space="preserve">5. Dashboard auto-updates as you change Tracker statuses</t>
  </si>
  <si>
    <t xml:space="preserve">Recommended pace: 4-6 hrs/week → finish in 6-9 weeks</t>
  </si>
  <si>
    <t xml:space="preserve">Aggressive pace:   10-12 hrs/week → finish in 3-4 weeks</t>
  </si>
  <si>
    <t xml:space="preserve">Skip module 14 ONLY if you've already done fine-tuning hands-on</t>
  </si>
  <si>
    <t xml:space="preserve">All other modules are essential for production LLM work</t>
  </si>
  <si>
    <t xml:space="preserve">Production LLM Engineer Curriculum  ·  35 hours  ·  21 modules</t>
  </si>
  <si>
    <t xml:space="preserve">Fills the gap between 'I can build LLM apps' and 'I can ship LLM products that don't break'</t>
  </si>
  <si>
    <t xml:space="preserve">#</t>
  </si>
  <si>
    <t xml:space="preserve">Module</t>
  </si>
  <si>
    <t xml:space="preserve">Hands-on Task</t>
  </si>
  <si>
    <t xml:space="preserve">Success Outcome</t>
  </si>
  <si>
    <t xml:space="preserve">References</t>
  </si>
  <si>
    <t xml:space="preserve">Status</t>
  </si>
  <si>
    <t xml:space="preserve">Notes</t>
  </si>
  <si>
    <t xml:space="preserve">Message Structure &amp; System Prompts</t>
  </si>
  <si>
    <t xml:space="preserve">Build 3 agents with different system prompts (assistant, technical writer, customer support); compare outputs on 5 identical queries</t>
  </si>
  <si>
    <t xml:space="preserve">Understand system/user/assistant role separation and prompt scoping</t>
  </si>
  <si>
    <t xml:space="preserve">• Anthropic Prompt Engineering Guide
• OpenAI Prompt Engineering Best Practices
• A Prompt Pattern Catalog (arxiv:2302.11382)</t>
  </si>
  <si>
    <t xml:space="preserve">Chain-of-Thought &amp; Few-Shot</t>
  </si>
  <si>
    <t xml:space="preserve">Test same math problem with: zero-shot, few-shot (3 examples), CoT, self-consistency (5 samples). Measure accuracy delta</t>
  </si>
  <si>
    <t xml:space="preserve">Know when CoT helps vs hurts; understand self-consistency tradeoffs</t>
  </si>
  <si>
    <t xml:space="preserve">• Chain-of-Thought Prompting (arxiv:2201.11903)
• Self-Consistency Improves CoT (arxiv:2203.11171)
• Tree of Thoughts (arxiv:2305.10601)
• Few-Shot Prompting Guide</t>
  </si>
  <si>
    <t xml:space="preserve">Template Design &amp; Versioning</t>
  </si>
  <si>
    <t xml:space="preserve">Build versioned prompt templates with Jinja2; store v1/v2/v3; load by version; track lineage</t>
  </si>
  <si>
    <t xml:space="preserve">Production-grade prompt management; can reproduce any output</t>
  </si>
  <si>
    <t xml:space="preserve">• LangChain PromptTemplate Documentation
• Prompt Engineering by Lilian Weng
• Jinja2 Templating Documentation</t>
  </si>
  <si>
    <t xml:space="preserve">A/B Testing Prompts</t>
  </si>
  <si>
    <t xml:space="preserve">Build comparison harness: 2 prompts x 50 questions; compute statistical significance (t-test, p&lt;0.05)</t>
  </si>
  <si>
    <t xml:space="preserve">Know whether prompt change is real improvement or noise</t>
  </si>
  <si>
    <t xml:space="preserve">• Promptfoo - Prompt Testing Framework
• Anthropic Evaluating Prompts Guide
• A/B Testing Statistical Significance Guide</t>
  </si>
  <si>
    <t xml:space="preserve">Prompt Debugging Playbook</t>
  </si>
  <si>
    <t xml:space="preserve">Diagnose 5 broken prompts: is it (a) prompt, (b) model, (c) data, (d) parsing? Build decision tree</t>
  </si>
  <si>
    <t xml:space="preserve">Systematic debugging when output is wrong</t>
  </si>
  <si>
    <t xml:space="preserve">• ReAct: Reasoning + Acting (arxiv:2210.03629)
• Debugging LLM Apps - LangChain Blog
• Anthropic Prompt Engineering Guide</t>
  </si>
  <si>
    <t xml:space="preserve">Multi-Model Routing</t>
  </si>
  <si>
    <t xml:space="preserve">Build router: classify query difficulty -&gt; route to Haiku/Sonnet/Opus; measure cost vs quality on 100 queries</t>
  </si>
  <si>
    <t xml:space="preserve">Cost reduction 40-70% with minimal quality loss</t>
  </si>
  <si>
    <t xml:space="preserve">• RouteLLM (arxiv:2406.18665)
• FrugalGPT (arxiv:2305.05176)
• LLM Patterns by Eugene Yan</t>
  </si>
  <si>
    <t xml:space="preserve">Token Economics &amp; Budgeting</t>
  </si>
  <si>
    <t xml:space="preserve">Build per-user budget tracker; project monthly cost at 10x scale; enforce daily limit with graceful degradation</t>
  </si>
  <si>
    <t xml:space="preserve">Predict costs accurately; prevent runaway spending</t>
  </si>
  <si>
    <t xml:space="preserve">• tiktoken - OpenAI's Tokenizer
• Anthropic Token Counting
• FrugalGPT (arxiv:2305.05176)</t>
  </si>
  <si>
    <t xml:space="preserve">Context Window Management</t>
  </si>
  <si>
    <t xml:space="preserve">Implement 3 strategies: sliding window, hierarchical summary, recency+importance; benchmark on 50-turn convo</t>
  </si>
  <si>
    <t xml:space="preserve">Handle long conversations without losing context or blowing budget</t>
  </si>
  <si>
    <t xml:space="preserve">• MemGPT: LLMs as Operating Systems (arxiv:2310.08560)
• Lost in the Middle (arxiv:2307.03172)
• Recursively Summarizing Books (arxiv:2109.10862)</t>
  </si>
  <si>
    <t xml:space="preserve">Caching Strategies</t>
  </si>
  <si>
    <t xml:space="preserve">Build 2-tier cache: exact match (Redis) + semantic (pgvector); measure hit rate on 1000 queries</t>
  </si>
  <si>
    <t xml:space="preserve">30-60% cost reduction via caching</t>
  </si>
  <si>
    <t xml:space="preserve">• GPTCache - Semantic Caching for LLMs
• SCALM: Towards Semantic Caching (arxiv:2406.00025)
• Redis Vector Similarity Search</t>
  </si>
  <si>
    <t xml:space="preserve">Inference Optimization</t>
  </si>
  <si>
    <t xml:space="preserve">Deploy with vLLM + continuous batching; compare TTFT, throughput vs naive HuggingFace</t>
  </si>
  <si>
    <t xml:space="preserve">Understand PagedAttention, batching, KV cache impact on latency</t>
  </si>
  <si>
    <t xml:space="preserve">• vLLM/PagedAttention (arxiv:2309.06180)
• FlashAttention (arxiv:2205.14135)
• FlashAttention-2 (arxiv:2307.08691)</t>
  </si>
  <si>
    <t xml:space="preserve">Streaming Responses</t>
  </si>
  <si>
    <t xml:space="preserve">Implement SSE streaming via FastAPI StreamingResponse; measure TTFT vs full-response latency</t>
  </si>
  <si>
    <t xml:space="preserve">User-perceived latency drops 50-80% with streaming</t>
  </si>
  <si>
    <t xml:space="preserve">• FastAPI StreamingResponse Docs
• OpenAI Streaming API
• LangChain Streaming Patterns</t>
  </si>
  <si>
    <t xml:space="preserve">Latency SLOs &amp; Degradation</t>
  </si>
  <si>
    <t xml:space="preserve">Define p50/p95/p99 SLOs; build degradation: if p95 &gt; 2s, route to faster model + cache more aggressively</t>
  </si>
  <si>
    <t xml:space="preserve">Meet SLOs under load; degrade gracefully not catastrophically</t>
  </si>
  <si>
    <t xml:space="preserve">• Google SRE Book - Service Level Objectives
• Datadog SLO Best Practices
• LLM Latency Optimization Guide (HuggingFace)</t>
  </si>
  <si>
    <t xml:space="preserve">Cost Optimization Audit</t>
  </si>
  <si>
    <t xml:space="preserve">Audit existing prompt; apply 5 optimizations (shorter system prompt, fewer examples, smaller model for retrieval, cache, batch); measure savings</t>
  </si>
  <si>
    <t xml:space="preserve">Cut LLM costs 60%+ without quality loss</t>
  </si>
  <si>
    <t xml:space="preserve">• FrugalGPT (arxiv:2305.05176)
• Anthropic Prompt Caching Documentation
• LLMLingua: Prompt Compression (arxiv:2310.05736)</t>
  </si>
  <si>
    <t xml:space="preserve">Fine-tune vs Prompt Decision</t>
  </si>
  <si>
    <t xml:space="preserve">Same task done 3 ways: prompt-only, RAG, QLoRA fine-tune. Measure cost/quality/latency. Build decision tree</t>
  </si>
  <si>
    <t xml:space="preserve">Know when fine-tuning is worth it (rarely is)</t>
  </si>
  <si>
    <t xml:space="preserve">• QLoRA: Efficient Finetuning (arxiv:2305.14314)
• LoRA: Low-Rank Adaptation (arxiv:2106.09685)
• Anthropic Fine-tuning Documentation</t>
  </si>
  <si>
    <t xml:space="preserve">Production Debugging Playbook</t>
  </si>
  <si>
    <t xml:space="preserve">Diagnose 10 broken scenarios: hallucination, slow response, cost spike, format break, refusal, drift, etc. Build runbook</t>
  </si>
  <si>
    <t xml:space="preserve">Triage production LLM issues in &lt;10 minutes</t>
  </si>
  <si>
    <t xml:space="preserve">• Langfuse - LLM Observability
• LangSmith - LLM Debugging
• LLM Evaluation by Eugene Yan</t>
  </si>
  <si>
    <t xml:space="preserve">Prompt Injection Defense</t>
  </si>
  <si>
    <t xml:space="preserve">Test 10 attack vectors (jailbreaks, instruction override, encoded attacks); build 3-layer defense (input filter, system prompt, output validation)</t>
  </si>
  <si>
    <t xml:space="preserve">Defend against the most common LLM security issues</t>
  </si>
  <si>
    <t xml:space="preserve">• Universal Adversarial Attacks (arxiv:2307.15043)
• OWASP Top 10 for LLM Applications
• Prompt Injection Articles by Simon Willison
• Prompt Injection Survey (arxiv:2402.06196)</t>
  </si>
  <si>
    <t xml:space="preserve">Output Safety &amp; Filtering</t>
  </si>
  <si>
    <t xml:space="preserve">Build output classifier (toxic/harmful/PII); add LlamaGuard; measure false positive rate on 100 outputs</t>
  </si>
  <si>
    <t xml:space="preserve">Catch harmful outputs before they reach users</t>
  </si>
  <si>
    <t xml:space="preserve">• LlamaGuard (arxiv:2312.06674)
• Constitutional AI (arxiv:2212.08073)
• Perspective API (Toxicity Detection)</t>
  </si>
  <si>
    <t xml:space="preserve">Fallback &amp; Graceful Degradation</t>
  </si>
  <si>
    <t xml:space="preserve">Build 4-level fallback: primary (Claude) -&gt; secondary (GPT-4) -&gt; cached -&gt; static. Test by killing primary</t>
  </si>
  <si>
    <t xml:space="preserve">Zero downtime when LLM provider has issues</t>
  </si>
  <si>
    <t xml:space="preserve">• Circuit Breaker Pattern (Microsoft)
• Tenacity - Python Retry Library
• Enterprise Integration Patterns</t>
  </si>
  <si>
    <t xml:space="preserve">Real-World Evaluation</t>
  </si>
  <si>
    <t xml:space="preserve">Set up production eval: LLM-as-judge + user feedback + drift detection. Run on 500 production samples</t>
  </si>
  <si>
    <t xml:space="preserve">Detect quality regressions before users complain</t>
  </si>
  <si>
    <t xml:space="preserve">• G-Eval: NLG Eval with GPT-4 (arxiv:2303.16634)
• LLM-as-a-Judge (arxiv:2306.05685)
• Langfuse - LLM Observability
• Evidently AI - Drift Detection</t>
  </si>
  <si>
    <t xml:space="preserve">Postmortems: Learn from Failures</t>
  </si>
  <si>
    <t xml:space="preserve">Read 5 famous LLM incident postmortems; write your own postmortem template; identify your top 3 risks</t>
  </si>
  <si>
    <t xml:space="preserve">Avoid the mistakes others have already made</t>
  </si>
  <si>
    <t xml:space="preserve">• Bing Chat Sydney Incident Analysis
• Google SRE - Postmortem Culture
• PagerDuty Postmortem Best Practices</t>
  </si>
  <si>
    <t xml:space="preserve">Capstone: Production-Ready Agent</t>
  </si>
  <si>
    <t xml:space="preserve">Take any LangGraph agent; apply ALL learnings: routing + caching + fallback + safety + monitoring + SLOs. Document architecture</t>
  </si>
  <si>
    <t xml:space="preserve">Ship-ready agent that handles real-world failures</t>
  </si>
  <si>
    <t xml:space="preserve">• All Previous Modules</t>
  </si>
  <si>
    <t xml:space="preserve">References  ·  Papers, Documentation, Tools</t>
  </si>
  <si>
    <t xml:space="preserve">Title</t>
  </si>
  <si>
    <t xml:space="preserve">Type</t>
  </si>
  <si>
    <t xml:space="preserve">Source / Author</t>
  </si>
  <si>
    <t xml:space="preserve">URL</t>
  </si>
  <si>
    <t xml:space="preserve">Cost</t>
  </si>
  <si>
    <t xml:space="preserve">Anthropic Prompt Engineering Guide</t>
  </si>
  <si>
    <t xml:space="preserve">Documentation</t>
  </si>
  <si>
    <t xml:space="preserve">Anthropic</t>
  </si>
  <si>
    <t xml:space="preserve">https://docs.anthropic.com/en/docs/build-with-claude/prompt-engineering/overview</t>
  </si>
  <si>
    <t xml:space="preserve">Free</t>
  </si>
  <si>
    <t xml:space="preserve">OpenAI Prompt Engineering Best Practices</t>
  </si>
  <si>
    <t xml:space="preserve">OpenAI</t>
  </si>
  <si>
    <t xml:space="preserve">https://platform.openai.com/docs/guides/prompt-engineering</t>
  </si>
  <si>
    <t xml:space="preserve">A Prompt Pattern Catalog (arxiv:2302.11382)</t>
  </si>
  <si>
    <t xml:space="preserve">Paper</t>
  </si>
  <si>
    <t xml:space="preserve">White et al, 2023</t>
  </si>
  <si>
    <t xml:space="preserve">https://arxiv.org/abs/2302.11382</t>
  </si>
  <si>
    <t xml:space="preserve">Chain-of-Thought Prompting (arxiv:2201.11903)</t>
  </si>
  <si>
    <t xml:space="preserve">Wei et al, Google, 2022</t>
  </si>
  <si>
    <t xml:space="preserve">https://arxiv.org/abs/2201.11903</t>
  </si>
  <si>
    <t xml:space="preserve">Self-Consistency Improves CoT (arxiv:2203.11171)</t>
  </si>
  <si>
    <t xml:space="preserve">Wang et al, Google, 2022</t>
  </si>
  <si>
    <t xml:space="preserve">https://arxiv.org/abs/2203.11171</t>
  </si>
  <si>
    <t xml:space="preserve">Tree of Thoughts (arxiv:2305.10601)</t>
  </si>
  <si>
    <t xml:space="preserve">Yao et al, Princeton/DeepMind, 2023</t>
  </si>
  <si>
    <t xml:space="preserve">https://arxiv.org/abs/2305.10601</t>
  </si>
  <si>
    <t xml:space="preserve">Few-Shot Prompting Guide</t>
  </si>
  <si>
    <t xml:space="preserve">Blog</t>
  </si>
  <si>
    <t xml:space="preserve">promptingguide.ai</t>
  </si>
  <si>
    <t xml:space="preserve">https://www.promptingguide.ai/techniques/fewshot</t>
  </si>
  <si>
    <t xml:space="preserve">LangChain PromptTemplate Documentation</t>
  </si>
  <si>
    <t xml:space="preserve">LangChain</t>
  </si>
  <si>
    <t xml:space="preserve">https://python.langchain.com/docs/concepts/prompt_templates/</t>
  </si>
  <si>
    <t xml:space="preserve">Prompt Engineering by Lilian Weng</t>
  </si>
  <si>
    <t xml:space="preserve">Lilian Weng (OpenAI)</t>
  </si>
  <si>
    <t xml:space="preserve">https://lilianweng.github.io/posts/2023-03-15-prompt-engineering/</t>
  </si>
  <si>
    <t xml:space="preserve">Jinja2 Templating Documentation</t>
  </si>
  <si>
    <t xml:space="preserve">Pallets</t>
  </si>
  <si>
    <t xml:space="preserve">https://jinja.palletsprojects.com/</t>
  </si>
  <si>
    <t xml:space="preserve">Promptfoo - Prompt Testing Framework</t>
  </si>
  <si>
    <t xml:space="preserve">Tool</t>
  </si>
  <si>
    <t xml:space="preserve">Promptfoo</t>
  </si>
  <si>
    <t xml:space="preserve">https://www.promptfoo.dev/docs/intro/</t>
  </si>
  <si>
    <t xml:space="preserve">Anthropic Evaluating Prompts Guide</t>
  </si>
  <si>
    <t xml:space="preserve">https://docs.anthropic.com/en/docs/test-and-evaluate/develop-tests</t>
  </si>
  <si>
    <t xml:space="preserve">A/B Testing Statistical Significance Guide</t>
  </si>
  <si>
    <t xml:space="preserve">Article</t>
  </si>
  <si>
    <t xml:space="preserve">Evan Miller</t>
  </si>
  <si>
    <t xml:space="preserve">https://www.evanmiller.org/ab-testing/</t>
  </si>
  <si>
    <t xml:space="preserve">ReAct: Reasoning + Acting (arxiv:2210.03629)</t>
  </si>
  <si>
    <t xml:space="preserve">Yao et al, Princeton, 2022</t>
  </si>
  <si>
    <t xml:space="preserve">https://arxiv.org/abs/2210.03629</t>
  </si>
  <si>
    <t xml:space="preserve">Debugging LLM Apps - LangChain Blog</t>
  </si>
  <si>
    <t xml:space="preserve">https://blog.langchain.dev/</t>
  </si>
  <si>
    <t xml:space="preserve">RouteLLM (arxiv:2406.18665)</t>
  </si>
  <si>
    <t xml:space="preserve">Ong et al, LMSys, 2024</t>
  </si>
  <si>
    <t xml:space="preserve">https://arxiv.org/abs/2406.18665</t>
  </si>
  <si>
    <t xml:space="preserve">FrugalGPT (arxiv:2305.05176)</t>
  </si>
  <si>
    <t xml:space="preserve">Chen et al, Stanford, 2023</t>
  </si>
  <si>
    <t xml:space="preserve">https://arxiv.org/abs/2305.05176</t>
  </si>
  <si>
    <t xml:space="preserve">LLM Patterns by Eugene Yan</t>
  </si>
  <si>
    <t xml:space="preserve">Eugene Yan</t>
  </si>
  <si>
    <t xml:space="preserve">https://eugeneyan.com/writing/llm-patterns/</t>
  </si>
  <si>
    <t xml:space="preserve">tiktoken - OpenAI's Tokenizer</t>
  </si>
  <si>
    <t xml:space="preserve">https://github.com/openai/tiktoken</t>
  </si>
  <si>
    <t xml:space="preserve">Anthropic Token Counting</t>
  </si>
  <si>
    <t xml:space="preserve">https://docs.anthropic.com/en/api/messages-count-tokens</t>
  </si>
  <si>
    <t xml:space="preserve">MemGPT: LLMs as Operating Systems (arxiv:2310.08560)</t>
  </si>
  <si>
    <t xml:space="preserve">Packer et al, Berkeley, 2023</t>
  </si>
  <si>
    <t xml:space="preserve">https://arxiv.org/abs/2310.08560</t>
  </si>
  <si>
    <t xml:space="preserve">Lost in the Middle (arxiv:2307.03172)</t>
  </si>
  <si>
    <t xml:space="preserve">Liu et al, Stanford, 2023</t>
  </si>
  <si>
    <t xml:space="preserve">https://arxiv.org/abs/2307.03172</t>
  </si>
  <si>
    <t xml:space="preserve">Recursively Summarizing Books (arxiv:2109.10862)</t>
  </si>
  <si>
    <t xml:space="preserve">Wu et al, OpenAI, 2021</t>
  </si>
  <si>
    <t xml:space="preserve">https://arxiv.org/abs/2109.10862</t>
  </si>
  <si>
    <t xml:space="preserve">GPTCache - Semantic Caching for LLMs</t>
  </si>
  <si>
    <t xml:space="preserve">Zilliz</t>
  </si>
  <si>
    <t xml:space="preserve">https://github.com/zilliztech/GPTCache</t>
  </si>
  <si>
    <t xml:space="preserve">SCALM: Towards Semantic Caching (arxiv:2406.00025)</t>
  </si>
  <si>
    <t xml:space="preserve">2024</t>
  </si>
  <si>
    <t xml:space="preserve">https://arxiv.org/abs/2406.00025</t>
  </si>
  <si>
    <t xml:space="preserve">Redis Vector Similarity Search</t>
  </si>
  <si>
    <t xml:space="preserve">Redis</t>
  </si>
  <si>
    <t xml:space="preserve">https://redis.io/docs/latest/develop/get-started/vector-database/</t>
  </si>
  <si>
    <t xml:space="preserve">vLLM/PagedAttention (arxiv:2309.06180)</t>
  </si>
  <si>
    <t xml:space="preserve">Kwon et al, Berkeley, 2023</t>
  </si>
  <si>
    <t xml:space="preserve">https://arxiv.org/abs/2309.06180</t>
  </si>
  <si>
    <t xml:space="preserve">FlashAttention (arxiv:2205.14135)</t>
  </si>
  <si>
    <t xml:space="preserve">Dao et al, Stanford, 2022</t>
  </si>
  <si>
    <t xml:space="preserve">https://arxiv.org/abs/2205.14135</t>
  </si>
  <si>
    <t xml:space="preserve">FlashAttention-2 (arxiv:2307.08691)</t>
  </si>
  <si>
    <t xml:space="preserve">Dao, Princeton, 2023</t>
  </si>
  <si>
    <t xml:space="preserve">https://arxiv.org/abs/2307.08691</t>
  </si>
  <si>
    <t xml:space="preserve">FastAPI StreamingResponse Docs</t>
  </si>
  <si>
    <t xml:space="preserve">FastAPI</t>
  </si>
  <si>
    <t xml:space="preserve">https://fastapi.tiangolo.com/advanced/custom-response/#streamingresponse</t>
  </si>
  <si>
    <t xml:space="preserve">OpenAI Streaming API</t>
  </si>
  <si>
    <t xml:space="preserve">https://platform.openai.com/docs/api-reference/streaming</t>
  </si>
  <si>
    <t xml:space="preserve">LangChain Streaming Patterns</t>
  </si>
  <si>
    <t xml:space="preserve">https://python.langchain.com/docs/concepts/streaming/</t>
  </si>
  <si>
    <t xml:space="preserve">Google SRE Book - Service Level Objectives</t>
  </si>
  <si>
    <t xml:space="preserve">Book</t>
  </si>
  <si>
    <t xml:space="preserve">Google</t>
  </si>
  <si>
    <t xml:space="preserve">https://sre.google/sre-book/service-level-objectives/</t>
  </si>
  <si>
    <t xml:space="preserve">Datadog SLO Best Practices</t>
  </si>
  <si>
    <t xml:space="preserve">Datadog</t>
  </si>
  <si>
    <t xml:space="preserve">https://docs.datadoghq.com/service_management/service_level_objectives/</t>
  </si>
  <si>
    <t xml:space="preserve">LLM Latency Optimization Guide (HuggingFace)</t>
  </si>
  <si>
    <t xml:space="preserve">HuggingFace</t>
  </si>
  <si>
    <t xml:space="preserve">https://huggingface.co/blog/optimum-nvidia</t>
  </si>
  <si>
    <t xml:space="preserve">Anthropic Prompt Caching Documentation</t>
  </si>
  <si>
    <t xml:space="preserve">https://docs.anthropic.com/en/docs/build-with-claude/prompt-caching</t>
  </si>
  <si>
    <t xml:space="preserve">LLMLingua: Prompt Compression (arxiv:2310.05736)</t>
  </si>
  <si>
    <t xml:space="preserve">Jiang et al, Microsoft, 2023</t>
  </si>
  <si>
    <t xml:space="preserve">https://arxiv.org/abs/2310.05736</t>
  </si>
  <si>
    <t xml:space="preserve">QLoRA: Efficient Finetuning (arxiv:2305.14314)</t>
  </si>
  <si>
    <t xml:space="preserve">Dettmers et al, U.Washington, 2023</t>
  </si>
  <si>
    <t xml:space="preserve">https://arxiv.org/abs/2305.14314</t>
  </si>
  <si>
    <t xml:space="preserve">LoRA: Low-Rank Adaptation (arxiv:2106.09685)</t>
  </si>
  <si>
    <t xml:space="preserve">Hu et al, Microsoft, 2021</t>
  </si>
  <si>
    <t xml:space="preserve">https://arxiv.org/abs/2106.09685</t>
  </si>
  <si>
    <t xml:space="preserve">Anthropic Fine-tuning Documentation</t>
  </si>
  <si>
    <t xml:space="preserve">https://docs.anthropic.com/en/docs/build-with-claude/fine-tuning</t>
  </si>
  <si>
    <t xml:space="preserve">Langfuse - LLM Observability</t>
  </si>
  <si>
    <t xml:space="preserve">Langfuse</t>
  </si>
  <si>
    <t xml:space="preserve">https://langfuse.com/docs</t>
  </si>
  <si>
    <t xml:space="preserve">LangSmith - LLM Debugging</t>
  </si>
  <si>
    <t xml:space="preserve">https://docs.smith.langchain.com/</t>
  </si>
  <si>
    <t xml:space="preserve">Paid</t>
  </si>
  <si>
    <t xml:space="preserve">LLM Evaluation by Eugene Yan</t>
  </si>
  <si>
    <t xml:space="preserve">https://eugeneyan.com/writing/llm-evaluation/</t>
  </si>
  <si>
    <t xml:space="preserve">Universal Adversarial Attacks (arxiv:2307.15043)</t>
  </si>
  <si>
    <t xml:space="preserve">Zou et al, CMU, 2023</t>
  </si>
  <si>
    <t xml:space="preserve">https://arxiv.org/abs/2307.15043</t>
  </si>
  <si>
    <t xml:space="preserve">OWASP Top 10 for LLM Applications</t>
  </si>
  <si>
    <t xml:space="preserve">Standard</t>
  </si>
  <si>
    <t xml:space="preserve">OWASP</t>
  </si>
  <si>
    <t xml:space="preserve">https://owasp.org/www-project-top-10-for-large-language-model-applications/</t>
  </si>
  <si>
    <t xml:space="preserve">Prompt Injection Articles by Simon Willison</t>
  </si>
  <si>
    <t xml:space="preserve">Simon Willison</t>
  </si>
  <si>
    <t xml:space="preserve">https://simonwillison.net/tags/prompt-injection/</t>
  </si>
  <si>
    <t xml:space="preserve">Prompt Injection Survey (arxiv:2402.06196)</t>
  </si>
  <si>
    <t xml:space="preserve">Liu et al, 2024</t>
  </si>
  <si>
    <t xml:space="preserve">https://arxiv.org/abs/2402.06196</t>
  </si>
  <si>
    <t xml:space="preserve">LlamaGuard (arxiv:2312.06674)</t>
  </si>
  <si>
    <t xml:space="preserve">Inan et al, Meta, 2023</t>
  </si>
  <si>
    <t xml:space="preserve">https://arxiv.org/abs/2312.06674</t>
  </si>
  <si>
    <t xml:space="preserve">Constitutional AI (arxiv:2212.08073)</t>
  </si>
  <si>
    <t xml:space="preserve">Bai et al, Anthropic, 2022</t>
  </si>
  <si>
    <t xml:space="preserve">https://arxiv.org/abs/2212.08073</t>
  </si>
  <si>
    <t xml:space="preserve">Perspective API (Toxicity Detection)</t>
  </si>
  <si>
    <t xml:space="preserve">Google Jigsaw</t>
  </si>
  <si>
    <t xml:space="preserve">https://www.perspectiveapi.com/</t>
  </si>
  <si>
    <t xml:space="preserve">Circuit Breaker Pattern (Microsoft)</t>
  </si>
  <si>
    <t xml:space="preserve">Microsoft</t>
  </si>
  <si>
    <t xml:space="preserve">https://learn.microsoft.com/en-us/azure/architecture/patterns/circuit-breaker</t>
  </si>
  <si>
    <t xml:space="preserve">Tenacity - Python Retry Library</t>
  </si>
  <si>
    <t xml:space="preserve">Tenacity</t>
  </si>
  <si>
    <t xml:space="preserve">https://tenacity.readthedocs.io/</t>
  </si>
  <si>
    <t xml:space="preserve">Enterprise Integration Patterns</t>
  </si>
  <si>
    <t xml:space="preserve">Hohpe</t>
  </si>
  <si>
    <t xml:space="preserve">https://www.enterpriseintegrationpatterns.com/</t>
  </si>
  <si>
    <t xml:space="preserve">G-Eval: NLG Eval with GPT-4 (arxiv:2303.16634)</t>
  </si>
  <si>
    <t xml:space="preserve">Liu et al, Microsoft, 2023</t>
  </si>
  <si>
    <t xml:space="preserve">https://arxiv.org/abs/2303.16634</t>
  </si>
  <si>
    <t xml:space="preserve">LLM-as-a-Judge (arxiv:2306.05685)</t>
  </si>
  <si>
    <t xml:space="preserve">Zheng et al, Berkeley, 2023</t>
  </si>
  <si>
    <t xml:space="preserve">https://arxiv.org/abs/2306.05685</t>
  </si>
  <si>
    <t xml:space="preserve">Evidently AI - Drift Detection</t>
  </si>
  <si>
    <t xml:space="preserve">Evidently AI</t>
  </si>
  <si>
    <t xml:space="preserve">https://docs.evidentlyai.com/</t>
  </si>
  <si>
    <t xml:space="preserve">Bing Chat Sydney Incident Analysis</t>
  </si>
  <si>
    <t xml:space="preserve">LessWrong</t>
  </si>
  <si>
    <t xml:space="preserve">https://www.lesswrong.com/posts/jtoPawEhLNXNxvgTT/bing-chat-is-blatantly-aggressively-misaligned</t>
  </si>
  <si>
    <t xml:space="preserve">Google SRE - Postmortem Culture</t>
  </si>
  <si>
    <t xml:space="preserve">Book Chapter</t>
  </si>
  <si>
    <t xml:space="preserve">https://sre.google/sre-book/postmortem-culture/</t>
  </si>
  <si>
    <t xml:space="preserve">PagerDuty Postmortem Best Practices</t>
  </si>
  <si>
    <t xml:space="preserve">PagerDuty</t>
  </si>
  <si>
    <t xml:space="preserve">https://response.pagerduty.com/after/post_mortem_process/</t>
  </si>
  <si>
    <t xml:space="preserve">All Previous Modules</t>
  </si>
  <si>
    <t xml:space="preserve">Reference</t>
  </si>
  <si>
    <t xml:space="preserve">This Curriculum</t>
  </si>
  <si>
    <t xml:space="preserve">Internal</t>
  </si>
  <si>
    <t xml:space="preserve">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</si>
</sst>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b val="true"/>
      <sz val="10"/>
      <color rgb="FF7B3FA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6E6E73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1E2E"/>
        <bgColor rgb="FF333300"/>
      </patternFill>
    </fill>
    <fill>
      <patternFill patternType="solid">
        <fgColor rgb="FFF3F4F6"/>
        <bgColor rgb="FFE6F1FB"/>
      </patternFill>
    </fill>
    <fill>
      <patternFill patternType="solid">
        <fgColor rgb="FFF3EAFD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E6F1FB"/>
        <bgColor rgb="FFF3F4F6"/>
      </patternFill>
    </fill>
    <fill>
      <patternFill patternType="solid">
        <fgColor rgb="FFFEE9DC"/>
        <bgColor rgb="FFFAEEDA"/>
      </patternFill>
    </fill>
    <fill>
      <patternFill patternType="solid">
        <fgColor rgb="FFEAF3DE"/>
        <bgColor rgb="FFF3F4F6"/>
      </patternFill>
    </fill>
    <fill>
      <patternFill patternType="solid">
        <fgColor rgb="FFFAEEDA"/>
        <bgColor rgb="FFFEE9DC"/>
      </patternFill>
    </fill>
    <fill>
      <patternFill patternType="solid">
        <fgColor rgb="FFFFF3CD"/>
        <bgColor rgb="FFFAEEDA"/>
      </patternFill>
    </fill>
    <fill>
      <patternFill patternType="solid">
        <fgColor rgb="FFFAECE7"/>
        <bgColor rgb="FFFAEE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1D6"/>
      </left>
      <right style="thin">
        <color rgb="FFD1D1D6"/>
      </right>
      <top style="thin">
        <color rgb="FFD1D1D6"/>
      </top>
      <bottom style="thin">
        <color rgb="FFD1D1D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6E6E73"/>
        <sz val="10"/>
      </font>
      <fill>
        <patternFill>
          <bgColor rgb="FFE8E8ED"/>
        </patternFill>
      </fill>
    </dxf>
    <dxf>
      <font>
        <name val="Arial"/>
        <charset val="1"/>
        <family val="0"/>
        <b val="1"/>
        <color rgb="FF856404"/>
        <sz val="10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CA3AF"/>
        <sz val="10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185FA5"/>
      <rgbColor rgb="FFE8E8ED"/>
      <rgbColor rgb="FF808080"/>
      <rgbColor rgb="FF9999FF"/>
      <rgbColor rgb="FF7B3FA8"/>
      <rgbColor rgb="FFFFF3CD"/>
      <rgbColor rgb="FFE6F1FB"/>
      <rgbColor rgb="FF660066"/>
      <rgbColor rgb="FFFF8080"/>
      <rgbColor rgb="FF0563C1"/>
      <rgbColor rgb="FFD1D1D6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AF3DE"/>
      <rgbColor rgb="FFD1FAE5"/>
      <rgbColor rgb="FFFAEEDA"/>
      <rgbColor rgb="FFF3EAFD"/>
      <rgbColor rgb="FFFAECE7"/>
      <rgbColor rgb="FFF3F4F6"/>
      <rgbColor rgb="FFFEE9DC"/>
      <rgbColor rgb="FF3366FF"/>
      <rgbColor rgb="FF33CCCC"/>
      <rgbColor rgb="FF99CC00"/>
      <rgbColor rgb="FFFFCC00"/>
      <rgbColor rgb="FFFF9900"/>
      <rgbColor rgb="FFFF6600"/>
      <rgbColor rgb="FF6E6E73"/>
      <rgbColor rgb="FF9CA3AF"/>
      <rgbColor rgb="FF003366"/>
      <rgbColor rgb="FF339966"/>
      <rgbColor rgb="FF003300"/>
      <rgbColor rgb="FF333300"/>
      <rgbColor rgb="FFC2410C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anthropic.com/en/docs/build-with-claude/prompt-engineering/overview" TargetMode="External"/><Relationship Id="rId2" Type="http://schemas.openxmlformats.org/officeDocument/2006/relationships/hyperlink" Target="https://platform.openai.com/docs/guides/prompt-engineering" TargetMode="External"/><Relationship Id="rId3" Type="http://schemas.openxmlformats.org/officeDocument/2006/relationships/hyperlink" Target="https://arxiv.org/abs/2302.11382" TargetMode="External"/><Relationship Id="rId4" Type="http://schemas.openxmlformats.org/officeDocument/2006/relationships/hyperlink" Target="https://arxiv.org/abs/2201.11903" TargetMode="External"/><Relationship Id="rId5" Type="http://schemas.openxmlformats.org/officeDocument/2006/relationships/hyperlink" Target="https://arxiv.org/abs/2203.11171" TargetMode="External"/><Relationship Id="rId6" Type="http://schemas.openxmlformats.org/officeDocument/2006/relationships/hyperlink" Target="https://arxiv.org/abs/2305.10601" TargetMode="External"/><Relationship Id="rId7" Type="http://schemas.openxmlformats.org/officeDocument/2006/relationships/hyperlink" Target="https://www.promptingguide.ai/techniques/fewshot" TargetMode="External"/><Relationship Id="rId8" Type="http://schemas.openxmlformats.org/officeDocument/2006/relationships/hyperlink" Target="https://python.langchain.com/docs/concepts/prompt_templates/" TargetMode="External"/><Relationship Id="rId9" Type="http://schemas.openxmlformats.org/officeDocument/2006/relationships/hyperlink" Target="https://lilianweng.github.io/posts/2023-03-15-prompt-engineering/" TargetMode="External"/><Relationship Id="rId10" Type="http://schemas.openxmlformats.org/officeDocument/2006/relationships/hyperlink" Target="https://jinja.palletsprojects.com/" TargetMode="External"/><Relationship Id="rId11" Type="http://schemas.openxmlformats.org/officeDocument/2006/relationships/hyperlink" Target="https://www.promptfoo.dev/docs/intro/" TargetMode="External"/><Relationship Id="rId12" Type="http://schemas.openxmlformats.org/officeDocument/2006/relationships/hyperlink" Target="https://docs.anthropic.com/en/docs/test-and-evaluate/develop-tests" TargetMode="External"/><Relationship Id="rId13" Type="http://schemas.openxmlformats.org/officeDocument/2006/relationships/hyperlink" Target="https://www.evanmiller.org/ab-testing/" TargetMode="External"/><Relationship Id="rId14" Type="http://schemas.openxmlformats.org/officeDocument/2006/relationships/hyperlink" Target="https://arxiv.org/abs/2210.03629" TargetMode="External"/><Relationship Id="rId15" Type="http://schemas.openxmlformats.org/officeDocument/2006/relationships/hyperlink" Target="https://blog.langchain.dev/" TargetMode="External"/><Relationship Id="rId16" Type="http://schemas.openxmlformats.org/officeDocument/2006/relationships/hyperlink" Target="https://arxiv.org/abs/2406.18665" TargetMode="External"/><Relationship Id="rId17" Type="http://schemas.openxmlformats.org/officeDocument/2006/relationships/hyperlink" Target="https://arxiv.org/abs/2305.05176" TargetMode="External"/><Relationship Id="rId18" Type="http://schemas.openxmlformats.org/officeDocument/2006/relationships/hyperlink" Target="https://eugeneyan.com/writing/llm-patterns/" TargetMode="External"/><Relationship Id="rId19" Type="http://schemas.openxmlformats.org/officeDocument/2006/relationships/hyperlink" Target="https://github.com/openai/tiktoken" TargetMode="External"/><Relationship Id="rId20" Type="http://schemas.openxmlformats.org/officeDocument/2006/relationships/hyperlink" Target="https://docs.anthropic.com/en/api/messages-count-tokens" TargetMode="External"/><Relationship Id="rId21" Type="http://schemas.openxmlformats.org/officeDocument/2006/relationships/hyperlink" Target="https://arxiv.org/abs/2310.08560" TargetMode="External"/><Relationship Id="rId22" Type="http://schemas.openxmlformats.org/officeDocument/2006/relationships/hyperlink" Target="https://arxiv.org/abs/2307.03172" TargetMode="External"/><Relationship Id="rId23" Type="http://schemas.openxmlformats.org/officeDocument/2006/relationships/hyperlink" Target="https://arxiv.org/abs/2109.10862" TargetMode="External"/><Relationship Id="rId24" Type="http://schemas.openxmlformats.org/officeDocument/2006/relationships/hyperlink" Target="https://github.com/zilliztech/GPTCache" TargetMode="External"/><Relationship Id="rId25" Type="http://schemas.openxmlformats.org/officeDocument/2006/relationships/hyperlink" Target="https://arxiv.org/abs/2406.00025" TargetMode="External"/><Relationship Id="rId26" Type="http://schemas.openxmlformats.org/officeDocument/2006/relationships/hyperlink" Target="https://redis.io/docs/latest/develop/get-started/vector-database/" TargetMode="External"/><Relationship Id="rId27" Type="http://schemas.openxmlformats.org/officeDocument/2006/relationships/hyperlink" Target="https://arxiv.org/abs/2309.06180" TargetMode="External"/><Relationship Id="rId28" Type="http://schemas.openxmlformats.org/officeDocument/2006/relationships/hyperlink" Target="https://arxiv.org/abs/2205.14135" TargetMode="External"/><Relationship Id="rId29" Type="http://schemas.openxmlformats.org/officeDocument/2006/relationships/hyperlink" Target="https://arxiv.org/abs/2307.08691" TargetMode="External"/><Relationship Id="rId30" Type="http://schemas.openxmlformats.org/officeDocument/2006/relationships/hyperlink" Target="https://fastapi.tiangolo.com/advanced/custom-response/" TargetMode="External"/><Relationship Id="rId31" Type="http://schemas.openxmlformats.org/officeDocument/2006/relationships/hyperlink" Target="https://platform.openai.com/docs/api-reference/streaming" TargetMode="External"/><Relationship Id="rId32" Type="http://schemas.openxmlformats.org/officeDocument/2006/relationships/hyperlink" Target="https://python.langchain.com/docs/concepts/streaming/" TargetMode="External"/><Relationship Id="rId33" Type="http://schemas.openxmlformats.org/officeDocument/2006/relationships/hyperlink" Target="https://sre.google/sre-book/service-level-objectives/" TargetMode="External"/><Relationship Id="rId34" Type="http://schemas.openxmlformats.org/officeDocument/2006/relationships/hyperlink" Target="https://docs.datadoghq.com/service_management/service_level_objectives/" TargetMode="External"/><Relationship Id="rId35" Type="http://schemas.openxmlformats.org/officeDocument/2006/relationships/hyperlink" Target="https://huggingface.co/blog/optimum-nvidia" TargetMode="External"/><Relationship Id="rId36" Type="http://schemas.openxmlformats.org/officeDocument/2006/relationships/hyperlink" Target="https://docs.anthropic.com/en/docs/build-with-claude/prompt-caching" TargetMode="External"/><Relationship Id="rId37" Type="http://schemas.openxmlformats.org/officeDocument/2006/relationships/hyperlink" Target="https://arxiv.org/abs/2310.05736" TargetMode="External"/><Relationship Id="rId38" Type="http://schemas.openxmlformats.org/officeDocument/2006/relationships/hyperlink" Target="https://arxiv.org/abs/2305.14314" TargetMode="External"/><Relationship Id="rId39" Type="http://schemas.openxmlformats.org/officeDocument/2006/relationships/hyperlink" Target="https://arxiv.org/abs/2106.09685" TargetMode="External"/><Relationship Id="rId40" Type="http://schemas.openxmlformats.org/officeDocument/2006/relationships/hyperlink" Target="https://docs.anthropic.com/en/docs/build-with-claude/fine-tuning" TargetMode="External"/><Relationship Id="rId41" Type="http://schemas.openxmlformats.org/officeDocument/2006/relationships/hyperlink" Target="https://langfuse.com/docs" TargetMode="External"/><Relationship Id="rId42" Type="http://schemas.openxmlformats.org/officeDocument/2006/relationships/hyperlink" Target="https://docs.smith.langchain.com/" TargetMode="External"/><Relationship Id="rId43" Type="http://schemas.openxmlformats.org/officeDocument/2006/relationships/hyperlink" Target="https://eugeneyan.com/writing/llm-evaluation/" TargetMode="External"/><Relationship Id="rId44" Type="http://schemas.openxmlformats.org/officeDocument/2006/relationships/hyperlink" Target="https://arxiv.org/abs/2307.15043" TargetMode="External"/><Relationship Id="rId45" Type="http://schemas.openxmlformats.org/officeDocument/2006/relationships/hyperlink" Target="https://owasp.org/www-project-top-10-for-large-language-model-applications/" TargetMode="External"/><Relationship Id="rId46" Type="http://schemas.openxmlformats.org/officeDocument/2006/relationships/hyperlink" Target="https://simonwillison.net/tags/prompt-injection/" TargetMode="External"/><Relationship Id="rId47" Type="http://schemas.openxmlformats.org/officeDocument/2006/relationships/hyperlink" Target="https://arxiv.org/abs/2402.06196" TargetMode="External"/><Relationship Id="rId48" Type="http://schemas.openxmlformats.org/officeDocument/2006/relationships/hyperlink" Target="https://arxiv.org/abs/2312.06674" TargetMode="External"/><Relationship Id="rId49" Type="http://schemas.openxmlformats.org/officeDocument/2006/relationships/hyperlink" Target="https://arxiv.org/abs/2212.08073" TargetMode="External"/><Relationship Id="rId50" Type="http://schemas.openxmlformats.org/officeDocument/2006/relationships/hyperlink" Target="https://www.perspectiveapi.com/" TargetMode="External"/><Relationship Id="rId51" Type="http://schemas.openxmlformats.org/officeDocument/2006/relationships/hyperlink" Target="https://learn.microsoft.com/en-us/azure/architecture/patterns/circuit-breaker" TargetMode="External"/><Relationship Id="rId52" Type="http://schemas.openxmlformats.org/officeDocument/2006/relationships/hyperlink" Target="https://tenacity.readthedocs.io/" TargetMode="External"/><Relationship Id="rId53" Type="http://schemas.openxmlformats.org/officeDocument/2006/relationships/hyperlink" Target="https://www.enterpriseintegrationpatterns.com/" TargetMode="External"/><Relationship Id="rId54" Type="http://schemas.openxmlformats.org/officeDocument/2006/relationships/hyperlink" Target="https://arxiv.org/abs/2303.16634" TargetMode="External"/><Relationship Id="rId55" Type="http://schemas.openxmlformats.org/officeDocument/2006/relationships/hyperlink" Target="https://arxiv.org/abs/2306.05685" TargetMode="External"/><Relationship Id="rId56" Type="http://schemas.openxmlformats.org/officeDocument/2006/relationships/hyperlink" Target="https://docs.evidentlyai.com/" TargetMode="External"/><Relationship Id="rId57" Type="http://schemas.openxmlformats.org/officeDocument/2006/relationships/hyperlink" Target="https://www.lesswrong.com/posts/jtoPawEhLNXNxvgTT/bing-chat-is-blatantly-aggressively-misaligned" TargetMode="External"/><Relationship Id="rId58" Type="http://schemas.openxmlformats.org/officeDocument/2006/relationships/hyperlink" Target="https://sre.google/sre-book/postmortem-culture/" TargetMode="External"/><Relationship Id="rId59" Type="http://schemas.openxmlformats.org/officeDocument/2006/relationships/hyperlink" Target="https://response.pagerduty.com/after/post_mortem_proces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D3" s="2" t="s">
        <v>2</v>
      </c>
    </row>
    <row r="4" customFormat="false" ht="25.5" hidden="false" customHeight="true" outlineLevel="0" collapsed="false">
      <c r="D4" s="3" t="s">
        <v>3</v>
      </c>
      <c r="E4" s="3" t="s">
        <v>4</v>
      </c>
      <c r="F4" s="3" t="s">
        <v>5</v>
      </c>
      <c r="G4" s="3" t="s">
        <v>6</v>
      </c>
    </row>
    <row r="5" customFormat="false" ht="27.75" hidden="false" customHeight="true" outlineLevel="0" collapsed="false">
      <c r="A5" s="4" t="s">
        <v>7</v>
      </c>
      <c r="B5" s="5" t="n">
        <f aca="false">COUNTA(Tracker!C5:C25)</f>
        <v>21</v>
      </c>
      <c r="D5" s="6" t="s">
        <v>8</v>
      </c>
      <c r="E5" s="7" t="n">
        <f aca="false">COUNTIF(Tracker!B5:B25,"Prompt Engineering")</f>
        <v>5</v>
      </c>
      <c r="F5" s="8" t="n">
        <f aca="false">SUMIF(Tracker!B5:B25,"Prompt Engineering",Tracker!D5:D25)</f>
        <v>5</v>
      </c>
      <c r="G5" s="7" t="n">
        <f aca="false">COUNTIFS(Tracker!B5:B25,"Prompt Engineering",Tracker!H5:H25,"Complete")</f>
        <v>0</v>
      </c>
    </row>
    <row r="6" customFormat="false" ht="27.75" hidden="false" customHeight="true" outlineLevel="0" collapsed="false">
      <c r="A6" s="4" t="s">
        <v>9</v>
      </c>
      <c r="B6" s="5" t="n">
        <f aca="false">COUNTIF(Tracker!H5:H25,"Complete")</f>
        <v>0</v>
      </c>
      <c r="D6" s="9" t="s">
        <v>10</v>
      </c>
      <c r="E6" s="7" t="n">
        <f aca="false">COUNTIF(Tracker!B5:B25,"System Design")</f>
        <v>8</v>
      </c>
      <c r="F6" s="8" t="n">
        <f aca="false">SUMIF(Tracker!B5:B25,"System Design",Tracker!D5:D25)</f>
        <v>15</v>
      </c>
      <c r="G6" s="7" t="n">
        <f aca="false">COUNTIFS(Tracker!B5:B25,"System Design",Tracker!H5:H25,"Complete")</f>
        <v>0</v>
      </c>
    </row>
    <row r="7" customFormat="false" ht="27.75" hidden="false" customHeight="true" outlineLevel="0" collapsed="false">
      <c r="A7" s="4" t="s">
        <v>11</v>
      </c>
      <c r="B7" s="5" t="n">
        <f aca="false">COUNTIF(Tracker!H5:H25,"In Progress")</f>
        <v>0</v>
      </c>
      <c r="D7" s="10" t="s">
        <v>12</v>
      </c>
      <c r="E7" s="7" t="n">
        <f aca="false">COUNTIF(Tracker!B5:B25,"Production Reality")</f>
        <v>8</v>
      </c>
      <c r="F7" s="8" t="n">
        <f aca="false">SUMIF(Tracker!B5:B25,"Production Reality",Tracker!D5:D25)</f>
        <v>15</v>
      </c>
      <c r="G7" s="7" t="n">
        <f aca="false">COUNTIFS(Tracker!B5:B25,"Production Reality",Tracker!H5:H25,"Complete")</f>
        <v>0</v>
      </c>
    </row>
    <row r="8" customFormat="false" ht="24" hidden="false" customHeight="true" outlineLevel="0" collapsed="false">
      <c r="A8" s="4" t="s">
        <v>13</v>
      </c>
      <c r="B8" s="5" t="n">
        <f aca="false">COUNTIF(Tracker!H5:H25,"Not Started")</f>
        <v>21</v>
      </c>
    </row>
    <row r="9" customFormat="false" ht="24" hidden="false" customHeight="true" outlineLevel="0" collapsed="false">
      <c r="A9" s="4" t="s">
        <v>14</v>
      </c>
      <c r="B9" s="5" t="n">
        <f aca="false">COUNTIF(Tracker!H5:H25,"Skipped")</f>
        <v>0</v>
      </c>
    </row>
    <row r="10" customFormat="false" ht="24" hidden="false" customHeight="true" outlineLevel="0" collapsed="false">
      <c r="A10" s="11" t="s">
        <v>15</v>
      </c>
      <c r="B10" s="12" t="n">
        <f aca="false">SUM(Tracker!D5:D25)</f>
        <v>35</v>
      </c>
    </row>
    <row r="11" customFormat="false" ht="24" hidden="false" customHeight="true" outlineLevel="0" collapsed="false">
      <c r="A11" s="13" t="s">
        <v>16</v>
      </c>
      <c r="B11" s="13"/>
      <c r="C11" s="13"/>
      <c r="D11" s="13"/>
      <c r="E11" s="13"/>
      <c r="F11" s="13"/>
      <c r="G11" s="13"/>
    </row>
    <row r="12" customFormat="false" ht="24" hidden="false" customHeight="true" outlineLevel="0" collapsed="false">
      <c r="A12" s="13" t="s">
        <v>17</v>
      </c>
      <c r="B12" s="13"/>
      <c r="C12" s="13"/>
      <c r="D12" s="13"/>
      <c r="E12" s="13"/>
      <c r="F12" s="13"/>
      <c r="G12" s="13"/>
    </row>
    <row r="13" customFormat="false" ht="24" hidden="false" customHeight="true" outlineLevel="0" collapsed="false">
      <c r="A13" s="13" t="s">
        <v>18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4" t="s">
        <v>19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 t="s">
        <v>20</v>
      </c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5" t="s">
        <v>21</v>
      </c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15" t="s">
        <v>22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 t="s">
        <v>23</v>
      </c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 t="s">
        <v>24</v>
      </c>
      <c r="B21" s="14"/>
      <c r="C21" s="14"/>
      <c r="D21" s="14"/>
      <c r="E21" s="14"/>
      <c r="F21" s="14"/>
      <c r="G21" s="14"/>
    </row>
  </sheetData>
  <mergeCells count="12">
    <mergeCell ref="A1:G1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6" min="6" style="0" width="40"/>
    <col collapsed="false" customWidth="true" hidden="false" outlineLevel="0" max="7" min="7" style="0" width="45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</row>
    <row r="2" customFormat="false" ht="21.75" hidden="false" customHeight="true" outlineLevel="0" collapsed="false">
      <c r="A2" s="17" t="s">
        <v>26</v>
      </c>
      <c r="B2" s="17"/>
      <c r="C2" s="17"/>
      <c r="D2" s="17"/>
      <c r="E2" s="17"/>
      <c r="F2" s="17"/>
      <c r="G2" s="17"/>
      <c r="H2" s="17"/>
      <c r="I2" s="17"/>
    </row>
    <row r="4" customFormat="false" ht="27.75" hidden="false" customHeight="true" outlineLevel="0" collapsed="false">
      <c r="A4" s="18" t="s">
        <v>27</v>
      </c>
      <c r="B4" s="18" t="s">
        <v>3</v>
      </c>
      <c r="C4" s="18" t="s">
        <v>28</v>
      </c>
      <c r="D4" s="18" t="s">
        <v>5</v>
      </c>
      <c r="E4" s="18" t="s">
        <v>29</v>
      </c>
      <c r="F4" s="18" t="s">
        <v>30</v>
      </c>
      <c r="G4" s="18" t="s">
        <v>31</v>
      </c>
      <c r="H4" s="18" t="s">
        <v>32</v>
      </c>
      <c r="I4" s="18" t="s">
        <v>33</v>
      </c>
    </row>
    <row r="5" customFormat="false" ht="90" hidden="false" customHeight="true" outlineLevel="0" collapsed="false">
      <c r="A5" s="19" t="n">
        <v>1</v>
      </c>
      <c r="B5" s="20" t="s">
        <v>8</v>
      </c>
      <c r="C5" s="21" t="s">
        <v>34</v>
      </c>
      <c r="D5" s="19" t="n">
        <v>1</v>
      </c>
      <c r="E5" s="21" t="s">
        <v>35</v>
      </c>
      <c r="F5" s="21" t="s">
        <v>36</v>
      </c>
      <c r="G5" s="21" t="s">
        <v>37</v>
      </c>
      <c r="H5" s="19" t="s">
        <v>13</v>
      </c>
      <c r="I5" s="21"/>
    </row>
    <row r="6" customFormat="false" ht="90" hidden="false" customHeight="true" outlineLevel="0" collapsed="false">
      <c r="A6" s="19" t="n">
        <v>2</v>
      </c>
      <c r="B6" s="20" t="s">
        <v>8</v>
      </c>
      <c r="C6" s="21" t="s">
        <v>38</v>
      </c>
      <c r="D6" s="19" t="n">
        <v>1</v>
      </c>
      <c r="E6" s="21" t="s">
        <v>39</v>
      </c>
      <c r="F6" s="21" t="s">
        <v>40</v>
      </c>
      <c r="G6" s="21" t="s">
        <v>41</v>
      </c>
      <c r="H6" s="19" t="s">
        <v>13</v>
      </c>
      <c r="I6" s="21"/>
    </row>
    <row r="7" customFormat="false" ht="90" hidden="false" customHeight="true" outlineLevel="0" collapsed="false">
      <c r="A7" s="19" t="n">
        <v>3</v>
      </c>
      <c r="B7" s="20" t="s">
        <v>8</v>
      </c>
      <c r="C7" s="21" t="s">
        <v>42</v>
      </c>
      <c r="D7" s="19" t="n">
        <v>1</v>
      </c>
      <c r="E7" s="21" t="s">
        <v>43</v>
      </c>
      <c r="F7" s="21" t="s">
        <v>44</v>
      </c>
      <c r="G7" s="21" t="s">
        <v>45</v>
      </c>
      <c r="H7" s="19" t="s">
        <v>13</v>
      </c>
      <c r="I7" s="21"/>
    </row>
    <row r="8" customFormat="false" ht="90" hidden="false" customHeight="true" outlineLevel="0" collapsed="false">
      <c r="A8" s="19" t="n">
        <v>4</v>
      </c>
      <c r="B8" s="20" t="s">
        <v>8</v>
      </c>
      <c r="C8" s="21" t="s">
        <v>46</v>
      </c>
      <c r="D8" s="19" t="n">
        <v>1</v>
      </c>
      <c r="E8" s="21" t="s">
        <v>47</v>
      </c>
      <c r="F8" s="21" t="s">
        <v>48</v>
      </c>
      <c r="G8" s="21" t="s">
        <v>49</v>
      </c>
      <c r="H8" s="19" t="s">
        <v>13</v>
      </c>
      <c r="I8" s="21"/>
    </row>
    <row r="9" customFormat="false" ht="90" hidden="false" customHeight="true" outlineLevel="0" collapsed="false">
      <c r="A9" s="19" t="n">
        <v>5</v>
      </c>
      <c r="B9" s="20" t="s">
        <v>8</v>
      </c>
      <c r="C9" s="21" t="s">
        <v>50</v>
      </c>
      <c r="D9" s="19" t="n">
        <v>1</v>
      </c>
      <c r="E9" s="21" t="s">
        <v>51</v>
      </c>
      <c r="F9" s="21" t="s">
        <v>52</v>
      </c>
      <c r="G9" s="21" t="s">
        <v>53</v>
      </c>
      <c r="H9" s="19" t="s">
        <v>13</v>
      </c>
      <c r="I9" s="21"/>
    </row>
    <row r="10" customFormat="false" ht="90" hidden="false" customHeight="true" outlineLevel="0" collapsed="false">
      <c r="A10" s="19" t="n">
        <v>6</v>
      </c>
      <c r="B10" s="22" t="s">
        <v>10</v>
      </c>
      <c r="C10" s="21" t="s">
        <v>54</v>
      </c>
      <c r="D10" s="19" t="n">
        <v>3</v>
      </c>
      <c r="E10" s="21" t="s">
        <v>55</v>
      </c>
      <c r="F10" s="21" t="s">
        <v>56</v>
      </c>
      <c r="G10" s="21" t="s">
        <v>57</v>
      </c>
      <c r="H10" s="19" t="s">
        <v>13</v>
      </c>
      <c r="I10" s="21"/>
    </row>
    <row r="11" customFormat="false" ht="90" hidden="false" customHeight="true" outlineLevel="0" collapsed="false">
      <c r="A11" s="19" t="n">
        <v>7</v>
      </c>
      <c r="B11" s="22" t="s">
        <v>10</v>
      </c>
      <c r="C11" s="21" t="s">
        <v>58</v>
      </c>
      <c r="D11" s="19" t="n">
        <v>2</v>
      </c>
      <c r="E11" s="21" t="s">
        <v>59</v>
      </c>
      <c r="F11" s="21" t="s">
        <v>60</v>
      </c>
      <c r="G11" s="21" t="s">
        <v>61</v>
      </c>
      <c r="H11" s="19" t="s">
        <v>13</v>
      </c>
      <c r="I11" s="21"/>
    </row>
    <row r="12" customFormat="false" ht="90" hidden="false" customHeight="true" outlineLevel="0" collapsed="false">
      <c r="A12" s="19" t="n">
        <v>8</v>
      </c>
      <c r="B12" s="22" t="s">
        <v>10</v>
      </c>
      <c r="C12" s="21" t="s">
        <v>62</v>
      </c>
      <c r="D12" s="19" t="n">
        <v>2</v>
      </c>
      <c r="E12" s="21" t="s">
        <v>63</v>
      </c>
      <c r="F12" s="21" t="s">
        <v>64</v>
      </c>
      <c r="G12" s="21" t="s">
        <v>65</v>
      </c>
      <c r="H12" s="19" t="s">
        <v>13</v>
      </c>
      <c r="I12" s="21"/>
    </row>
    <row r="13" customFormat="false" ht="90" hidden="false" customHeight="true" outlineLevel="0" collapsed="false">
      <c r="A13" s="19" t="n">
        <v>9</v>
      </c>
      <c r="B13" s="22" t="s">
        <v>10</v>
      </c>
      <c r="C13" s="21" t="s">
        <v>66</v>
      </c>
      <c r="D13" s="19" t="n">
        <v>2</v>
      </c>
      <c r="E13" s="21" t="s">
        <v>67</v>
      </c>
      <c r="F13" s="21" t="s">
        <v>68</v>
      </c>
      <c r="G13" s="21" t="s">
        <v>69</v>
      </c>
      <c r="H13" s="19" t="s">
        <v>13</v>
      </c>
      <c r="I13" s="21"/>
    </row>
    <row r="14" customFormat="false" ht="90" hidden="false" customHeight="true" outlineLevel="0" collapsed="false">
      <c r="A14" s="19" t="n">
        <v>10</v>
      </c>
      <c r="B14" s="22" t="s">
        <v>10</v>
      </c>
      <c r="C14" s="21" t="s">
        <v>70</v>
      </c>
      <c r="D14" s="19" t="n">
        <v>3</v>
      </c>
      <c r="E14" s="21" t="s">
        <v>71</v>
      </c>
      <c r="F14" s="21" t="s">
        <v>72</v>
      </c>
      <c r="G14" s="21" t="s">
        <v>73</v>
      </c>
      <c r="H14" s="19" t="s">
        <v>13</v>
      </c>
      <c r="I14" s="21"/>
    </row>
    <row r="15" customFormat="false" ht="90" hidden="false" customHeight="true" outlineLevel="0" collapsed="false">
      <c r="A15" s="19" t="n">
        <v>11</v>
      </c>
      <c r="B15" s="22" t="s">
        <v>10</v>
      </c>
      <c r="C15" s="21" t="s">
        <v>74</v>
      </c>
      <c r="D15" s="19" t="n">
        <v>1</v>
      </c>
      <c r="E15" s="21" t="s">
        <v>75</v>
      </c>
      <c r="F15" s="21" t="s">
        <v>76</v>
      </c>
      <c r="G15" s="21" t="s">
        <v>77</v>
      </c>
      <c r="H15" s="19" t="s">
        <v>13</v>
      </c>
      <c r="I15" s="21"/>
    </row>
    <row r="16" customFormat="false" ht="90" hidden="false" customHeight="true" outlineLevel="0" collapsed="false">
      <c r="A16" s="19" t="n">
        <v>12</v>
      </c>
      <c r="B16" s="22" t="s">
        <v>10</v>
      </c>
      <c r="C16" s="21" t="s">
        <v>78</v>
      </c>
      <c r="D16" s="19" t="n">
        <v>1</v>
      </c>
      <c r="E16" s="21" t="s">
        <v>79</v>
      </c>
      <c r="F16" s="21" t="s">
        <v>80</v>
      </c>
      <c r="G16" s="21" t="s">
        <v>81</v>
      </c>
      <c r="H16" s="19" t="s">
        <v>13</v>
      </c>
      <c r="I16" s="21"/>
    </row>
    <row r="17" customFormat="false" ht="90" hidden="false" customHeight="true" outlineLevel="0" collapsed="false">
      <c r="A17" s="19" t="n">
        <v>13</v>
      </c>
      <c r="B17" s="22" t="s">
        <v>10</v>
      </c>
      <c r="C17" s="21" t="s">
        <v>82</v>
      </c>
      <c r="D17" s="19" t="n">
        <v>1</v>
      </c>
      <c r="E17" s="21" t="s">
        <v>83</v>
      </c>
      <c r="F17" s="21" t="s">
        <v>84</v>
      </c>
      <c r="G17" s="21" t="s">
        <v>85</v>
      </c>
      <c r="H17" s="19" t="s">
        <v>13</v>
      </c>
      <c r="I17" s="21"/>
    </row>
    <row r="18" customFormat="false" ht="90" hidden="false" customHeight="true" outlineLevel="0" collapsed="false">
      <c r="A18" s="19" t="n">
        <v>14</v>
      </c>
      <c r="B18" s="23" t="s">
        <v>12</v>
      </c>
      <c r="C18" s="21" t="s">
        <v>86</v>
      </c>
      <c r="D18" s="19" t="n">
        <v>2</v>
      </c>
      <c r="E18" s="21" t="s">
        <v>87</v>
      </c>
      <c r="F18" s="21" t="s">
        <v>88</v>
      </c>
      <c r="G18" s="21" t="s">
        <v>89</v>
      </c>
      <c r="H18" s="19" t="s">
        <v>13</v>
      </c>
      <c r="I18" s="21"/>
    </row>
    <row r="19" customFormat="false" ht="90" hidden="false" customHeight="true" outlineLevel="0" collapsed="false">
      <c r="A19" s="19" t="n">
        <v>15</v>
      </c>
      <c r="B19" s="23" t="s">
        <v>12</v>
      </c>
      <c r="C19" s="21" t="s">
        <v>90</v>
      </c>
      <c r="D19" s="19" t="n">
        <v>3</v>
      </c>
      <c r="E19" s="21" t="s">
        <v>91</v>
      </c>
      <c r="F19" s="21" t="s">
        <v>92</v>
      </c>
      <c r="G19" s="21" t="s">
        <v>93</v>
      </c>
      <c r="H19" s="19" t="s">
        <v>13</v>
      </c>
      <c r="I19" s="21"/>
    </row>
    <row r="20" customFormat="false" ht="90" hidden="false" customHeight="true" outlineLevel="0" collapsed="false">
      <c r="A20" s="19" t="n">
        <v>16</v>
      </c>
      <c r="B20" s="23" t="s">
        <v>12</v>
      </c>
      <c r="C20" s="21" t="s">
        <v>94</v>
      </c>
      <c r="D20" s="19" t="n">
        <v>2</v>
      </c>
      <c r="E20" s="21" t="s">
        <v>95</v>
      </c>
      <c r="F20" s="21" t="s">
        <v>96</v>
      </c>
      <c r="G20" s="21" t="s">
        <v>97</v>
      </c>
      <c r="H20" s="19" t="s">
        <v>13</v>
      </c>
      <c r="I20" s="21"/>
    </row>
    <row r="21" customFormat="false" ht="90" hidden="false" customHeight="true" outlineLevel="0" collapsed="false">
      <c r="A21" s="19" t="n">
        <v>17</v>
      </c>
      <c r="B21" s="23" t="s">
        <v>12</v>
      </c>
      <c r="C21" s="21" t="s">
        <v>98</v>
      </c>
      <c r="D21" s="19" t="n">
        <v>1</v>
      </c>
      <c r="E21" s="21" t="s">
        <v>99</v>
      </c>
      <c r="F21" s="21" t="s">
        <v>100</v>
      </c>
      <c r="G21" s="21" t="s">
        <v>101</v>
      </c>
      <c r="H21" s="19" t="s">
        <v>13</v>
      </c>
      <c r="I21" s="21"/>
    </row>
    <row r="22" customFormat="false" ht="90" hidden="false" customHeight="true" outlineLevel="0" collapsed="false">
      <c r="A22" s="19" t="n">
        <v>18</v>
      </c>
      <c r="B22" s="23" t="s">
        <v>12</v>
      </c>
      <c r="C22" s="21" t="s">
        <v>102</v>
      </c>
      <c r="D22" s="19" t="n">
        <v>2</v>
      </c>
      <c r="E22" s="21" t="s">
        <v>103</v>
      </c>
      <c r="F22" s="21" t="s">
        <v>104</v>
      </c>
      <c r="G22" s="21" t="s">
        <v>105</v>
      </c>
      <c r="H22" s="19" t="s">
        <v>13</v>
      </c>
      <c r="I22" s="21"/>
    </row>
    <row r="23" customFormat="false" ht="90" hidden="false" customHeight="true" outlineLevel="0" collapsed="false">
      <c r="A23" s="19" t="n">
        <v>19</v>
      </c>
      <c r="B23" s="23" t="s">
        <v>12</v>
      </c>
      <c r="C23" s="21" t="s">
        <v>106</v>
      </c>
      <c r="D23" s="19" t="n">
        <v>3</v>
      </c>
      <c r="E23" s="21" t="s">
        <v>107</v>
      </c>
      <c r="F23" s="21" t="s">
        <v>108</v>
      </c>
      <c r="G23" s="21" t="s">
        <v>109</v>
      </c>
      <c r="H23" s="19" t="s">
        <v>13</v>
      </c>
      <c r="I23" s="21"/>
    </row>
    <row r="24" customFormat="false" ht="90" hidden="false" customHeight="true" outlineLevel="0" collapsed="false">
      <c r="A24" s="19" t="n">
        <v>20</v>
      </c>
      <c r="B24" s="23" t="s">
        <v>12</v>
      </c>
      <c r="C24" s="21" t="s">
        <v>110</v>
      </c>
      <c r="D24" s="19" t="n">
        <v>1</v>
      </c>
      <c r="E24" s="21" t="s">
        <v>111</v>
      </c>
      <c r="F24" s="21" t="s">
        <v>112</v>
      </c>
      <c r="G24" s="21" t="s">
        <v>113</v>
      </c>
      <c r="H24" s="19" t="s">
        <v>13</v>
      </c>
      <c r="I24" s="21"/>
    </row>
    <row r="25" customFormat="false" ht="90" hidden="false" customHeight="true" outlineLevel="0" collapsed="false">
      <c r="A25" s="19" t="n">
        <v>21</v>
      </c>
      <c r="B25" s="23" t="s">
        <v>12</v>
      </c>
      <c r="C25" s="21" t="s">
        <v>114</v>
      </c>
      <c r="D25" s="19" t="n">
        <v>1</v>
      </c>
      <c r="E25" s="21" t="s">
        <v>115</v>
      </c>
      <c r="F25" s="21" t="s">
        <v>116</v>
      </c>
      <c r="G25" s="21" t="s">
        <v>117</v>
      </c>
      <c r="H25" s="19" t="s">
        <v>13</v>
      </c>
      <c r="I25" s="21"/>
    </row>
  </sheetData>
  <mergeCells count="2">
    <mergeCell ref="A1:I1"/>
    <mergeCell ref="A2:I2"/>
  </mergeCells>
  <conditionalFormatting sqref="H5:H25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"Complete"</formula>
    </cfRule>
    <cfRule type="cellIs" priority="5" operator="equal" aboveAverage="0" equalAverage="0" bottom="0" percent="0" rank="0" text="" dxfId="3">
      <formula>"Skipped"</formula>
    </cfRule>
  </conditionalFormatting>
  <dataValidations count="1">
    <dataValidation allowBlank="false" errorStyle="stop" operator="between" showDropDown="false" showErrorMessage="false" showInputMessage="false" sqref="H5:H25" type="list">
      <formula1>"Not Started,In Progress,Complete,Skipped"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5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6" t="s">
        <v>118</v>
      </c>
      <c r="B1" s="16"/>
      <c r="C1" s="16"/>
      <c r="D1" s="16"/>
      <c r="E1" s="16"/>
    </row>
    <row r="3" customFormat="false" ht="25.5" hidden="false" customHeight="true" outlineLevel="0" collapsed="false">
      <c r="A3" s="18" t="s">
        <v>119</v>
      </c>
      <c r="B3" s="18" t="s">
        <v>120</v>
      </c>
      <c r="C3" s="18" t="s">
        <v>121</v>
      </c>
      <c r="D3" s="18" t="s">
        <v>122</v>
      </c>
      <c r="E3" s="18" t="s">
        <v>123</v>
      </c>
    </row>
    <row r="4" customFormat="false" ht="27.75" hidden="false" customHeight="true" outlineLevel="0" collapsed="false">
      <c r="A4" s="21" t="s">
        <v>124</v>
      </c>
      <c r="B4" s="24" t="s">
        <v>125</v>
      </c>
      <c r="C4" s="21" t="s">
        <v>126</v>
      </c>
      <c r="D4" s="25" t="s">
        <v>127</v>
      </c>
      <c r="E4" s="19" t="s">
        <v>128</v>
      </c>
    </row>
    <row r="5" customFormat="false" ht="27.75" hidden="false" customHeight="true" outlineLevel="0" collapsed="false">
      <c r="A5" s="21" t="s">
        <v>129</v>
      </c>
      <c r="B5" s="24" t="s">
        <v>125</v>
      </c>
      <c r="C5" s="21" t="s">
        <v>130</v>
      </c>
      <c r="D5" s="25" t="s">
        <v>131</v>
      </c>
      <c r="E5" s="19" t="s">
        <v>128</v>
      </c>
    </row>
    <row r="6" customFormat="false" ht="27.75" hidden="false" customHeight="true" outlineLevel="0" collapsed="false">
      <c r="A6" s="21" t="s">
        <v>132</v>
      </c>
      <c r="B6" s="26" t="s">
        <v>133</v>
      </c>
      <c r="C6" s="21" t="s">
        <v>134</v>
      </c>
      <c r="D6" s="25" t="s">
        <v>135</v>
      </c>
      <c r="E6" s="19" t="s">
        <v>128</v>
      </c>
    </row>
    <row r="7" customFormat="false" ht="27.75" hidden="false" customHeight="true" outlineLevel="0" collapsed="false">
      <c r="A7" s="21" t="s">
        <v>136</v>
      </c>
      <c r="B7" s="26" t="s">
        <v>133</v>
      </c>
      <c r="C7" s="21" t="s">
        <v>137</v>
      </c>
      <c r="D7" s="25" t="s">
        <v>138</v>
      </c>
      <c r="E7" s="19" t="s">
        <v>128</v>
      </c>
    </row>
    <row r="8" customFormat="false" ht="27.75" hidden="false" customHeight="true" outlineLevel="0" collapsed="false">
      <c r="A8" s="21" t="s">
        <v>139</v>
      </c>
      <c r="B8" s="26" t="s">
        <v>133</v>
      </c>
      <c r="C8" s="21" t="s">
        <v>140</v>
      </c>
      <c r="D8" s="25" t="s">
        <v>141</v>
      </c>
      <c r="E8" s="19" t="s">
        <v>128</v>
      </c>
    </row>
    <row r="9" customFormat="false" ht="27.75" hidden="false" customHeight="true" outlineLevel="0" collapsed="false">
      <c r="A9" s="21" t="s">
        <v>142</v>
      </c>
      <c r="B9" s="26" t="s">
        <v>133</v>
      </c>
      <c r="C9" s="21" t="s">
        <v>143</v>
      </c>
      <c r="D9" s="25" t="s">
        <v>144</v>
      </c>
      <c r="E9" s="19" t="s">
        <v>128</v>
      </c>
    </row>
    <row r="10" customFormat="false" ht="27.75" hidden="false" customHeight="true" outlineLevel="0" collapsed="false">
      <c r="A10" s="21" t="s">
        <v>145</v>
      </c>
      <c r="B10" s="27" t="s">
        <v>146</v>
      </c>
      <c r="C10" s="21" t="s">
        <v>147</v>
      </c>
      <c r="D10" s="25" t="s">
        <v>148</v>
      </c>
      <c r="E10" s="19" t="s">
        <v>128</v>
      </c>
    </row>
    <row r="11" customFormat="false" ht="27.75" hidden="false" customHeight="true" outlineLevel="0" collapsed="false">
      <c r="A11" s="21" t="s">
        <v>149</v>
      </c>
      <c r="B11" s="24" t="s">
        <v>125</v>
      </c>
      <c r="C11" s="21" t="s">
        <v>150</v>
      </c>
      <c r="D11" s="25" t="s">
        <v>151</v>
      </c>
      <c r="E11" s="19" t="s">
        <v>128</v>
      </c>
    </row>
    <row r="12" customFormat="false" ht="27.75" hidden="false" customHeight="true" outlineLevel="0" collapsed="false">
      <c r="A12" s="21" t="s">
        <v>152</v>
      </c>
      <c r="B12" s="27" t="s">
        <v>146</v>
      </c>
      <c r="C12" s="21" t="s">
        <v>153</v>
      </c>
      <c r="D12" s="25" t="s">
        <v>154</v>
      </c>
      <c r="E12" s="19" t="s">
        <v>128</v>
      </c>
    </row>
    <row r="13" customFormat="false" ht="27.75" hidden="false" customHeight="true" outlineLevel="0" collapsed="false">
      <c r="A13" s="21" t="s">
        <v>155</v>
      </c>
      <c r="B13" s="24" t="s">
        <v>125</v>
      </c>
      <c r="C13" s="21" t="s">
        <v>156</v>
      </c>
      <c r="D13" s="25" t="s">
        <v>157</v>
      </c>
      <c r="E13" s="19" t="s">
        <v>128</v>
      </c>
    </row>
    <row r="14" customFormat="false" ht="27.75" hidden="false" customHeight="true" outlineLevel="0" collapsed="false">
      <c r="A14" s="21" t="s">
        <v>158</v>
      </c>
      <c r="B14" s="28" t="s">
        <v>159</v>
      </c>
      <c r="C14" s="21" t="s">
        <v>160</v>
      </c>
      <c r="D14" s="25" t="s">
        <v>161</v>
      </c>
      <c r="E14" s="19" t="s">
        <v>128</v>
      </c>
    </row>
    <row r="15" customFormat="false" ht="27.75" hidden="false" customHeight="true" outlineLevel="0" collapsed="false">
      <c r="A15" s="21" t="s">
        <v>162</v>
      </c>
      <c r="B15" s="24" t="s">
        <v>125</v>
      </c>
      <c r="C15" s="21" t="s">
        <v>126</v>
      </c>
      <c r="D15" s="25" t="s">
        <v>163</v>
      </c>
      <c r="E15" s="19" t="s">
        <v>128</v>
      </c>
    </row>
    <row r="16" customFormat="false" ht="27.75" hidden="false" customHeight="true" outlineLevel="0" collapsed="false">
      <c r="A16" s="21" t="s">
        <v>164</v>
      </c>
      <c r="B16" s="29" t="s">
        <v>165</v>
      </c>
      <c r="C16" s="21" t="s">
        <v>166</v>
      </c>
      <c r="D16" s="25" t="s">
        <v>167</v>
      </c>
      <c r="E16" s="19" t="s">
        <v>128</v>
      </c>
    </row>
    <row r="17" customFormat="false" ht="27.75" hidden="false" customHeight="true" outlineLevel="0" collapsed="false">
      <c r="A17" s="21" t="s">
        <v>168</v>
      </c>
      <c r="B17" s="26" t="s">
        <v>133</v>
      </c>
      <c r="C17" s="21" t="s">
        <v>169</v>
      </c>
      <c r="D17" s="25" t="s">
        <v>170</v>
      </c>
      <c r="E17" s="19" t="s">
        <v>128</v>
      </c>
    </row>
    <row r="18" customFormat="false" ht="27.75" hidden="false" customHeight="true" outlineLevel="0" collapsed="false">
      <c r="A18" s="21" t="s">
        <v>171</v>
      </c>
      <c r="B18" s="27" t="s">
        <v>146</v>
      </c>
      <c r="C18" s="21" t="s">
        <v>150</v>
      </c>
      <c r="D18" s="25" t="s">
        <v>172</v>
      </c>
      <c r="E18" s="19" t="s">
        <v>128</v>
      </c>
    </row>
    <row r="19" customFormat="false" ht="27.75" hidden="false" customHeight="true" outlineLevel="0" collapsed="false">
      <c r="A19" s="21" t="s">
        <v>173</v>
      </c>
      <c r="B19" s="26" t="s">
        <v>133</v>
      </c>
      <c r="C19" s="21" t="s">
        <v>174</v>
      </c>
      <c r="D19" s="25" t="s">
        <v>175</v>
      </c>
      <c r="E19" s="19" t="s">
        <v>128</v>
      </c>
    </row>
    <row r="20" customFormat="false" ht="27.75" hidden="false" customHeight="true" outlineLevel="0" collapsed="false">
      <c r="A20" s="21" t="s">
        <v>176</v>
      </c>
      <c r="B20" s="26" t="s">
        <v>133</v>
      </c>
      <c r="C20" s="21" t="s">
        <v>177</v>
      </c>
      <c r="D20" s="25" t="s">
        <v>178</v>
      </c>
      <c r="E20" s="19" t="s">
        <v>128</v>
      </c>
    </row>
    <row r="21" customFormat="false" ht="27.75" hidden="false" customHeight="true" outlineLevel="0" collapsed="false">
      <c r="A21" s="21" t="s">
        <v>179</v>
      </c>
      <c r="B21" s="29" t="s">
        <v>165</v>
      </c>
      <c r="C21" s="21" t="s">
        <v>180</v>
      </c>
      <c r="D21" s="25" t="s">
        <v>181</v>
      </c>
      <c r="E21" s="19" t="s">
        <v>128</v>
      </c>
    </row>
    <row r="22" customFormat="false" ht="27.75" hidden="false" customHeight="true" outlineLevel="0" collapsed="false">
      <c r="A22" s="21" t="s">
        <v>182</v>
      </c>
      <c r="B22" s="28" t="s">
        <v>159</v>
      </c>
      <c r="C22" s="21" t="s">
        <v>130</v>
      </c>
      <c r="D22" s="25" t="s">
        <v>183</v>
      </c>
      <c r="E22" s="19" t="s">
        <v>128</v>
      </c>
    </row>
    <row r="23" customFormat="false" ht="27.75" hidden="false" customHeight="true" outlineLevel="0" collapsed="false">
      <c r="A23" s="21" t="s">
        <v>184</v>
      </c>
      <c r="B23" s="24" t="s">
        <v>125</v>
      </c>
      <c r="C23" s="21" t="s">
        <v>126</v>
      </c>
      <c r="D23" s="25" t="s">
        <v>185</v>
      </c>
      <c r="E23" s="19" t="s">
        <v>128</v>
      </c>
    </row>
    <row r="24" customFormat="false" ht="27.75" hidden="false" customHeight="true" outlineLevel="0" collapsed="false">
      <c r="A24" s="21" t="s">
        <v>186</v>
      </c>
      <c r="B24" s="26" t="s">
        <v>133</v>
      </c>
      <c r="C24" s="21" t="s">
        <v>187</v>
      </c>
      <c r="D24" s="25" t="s">
        <v>188</v>
      </c>
      <c r="E24" s="19" t="s">
        <v>128</v>
      </c>
    </row>
    <row r="25" customFormat="false" ht="27.75" hidden="false" customHeight="true" outlineLevel="0" collapsed="false">
      <c r="A25" s="21" t="s">
        <v>189</v>
      </c>
      <c r="B25" s="26" t="s">
        <v>133</v>
      </c>
      <c r="C25" s="21" t="s">
        <v>190</v>
      </c>
      <c r="D25" s="25" t="s">
        <v>191</v>
      </c>
      <c r="E25" s="19" t="s">
        <v>128</v>
      </c>
    </row>
    <row r="26" customFormat="false" ht="27.75" hidden="false" customHeight="true" outlineLevel="0" collapsed="false">
      <c r="A26" s="21" t="s">
        <v>192</v>
      </c>
      <c r="B26" s="26" t="s">
        <v>133</v>
      </c>
      <c r="C26" s="21" t="s">
        <v>193</v>
      </c>
      <c r="D26" s="25" t="s">
        <v>194</v>
      </c>
      <c r="E26" s="19" t="s">
        <v>128</v>
      </c>
    </row>
    <row r="27" customFormat="false" ht="27.75" hidden="false" customHeight="true" outlineLevel="0" collapsed="false">
      <c r="A27" s="21" t="s">
        <v>195</v>
      </c>
      <c r="B27" s="28" t="s">
        <v>159</v>
      </c>
      <c r="C27" s="21" t="s">
        <v>196</v>
      </c>
      <c r="D27" s="25" t="s">
        <v>197</v>
      </c>
      <c r="E27" s="19" t="s">
        <v>128</v>
      </c>
    </row>
    <row r="28" customFormat="false" ht="27.75" hidden="false" customHeight="true" outlineLevel="0" collapsed="false">
      <c r="A28" s="21" t="s">
        <v>198</v>
      </c>
      <c r="B28" s="26" t="s">
        <v>133</v>
      </c>
      <c r="C28" s="21" t="s">
        <v>199</v>
      </c>
      <c r="D28" s="25" t="s">
        <v>200</v>
      </c>
      <c r="E28" s="19" t="s">
        <v>128</v>
      </c>
    </row>
    <row r="29" customFormat="false" ht="27.75" hidden="false" customHeight="true" outlineLevel="0" collapsed="false">
      <c r="A29" s="21" t="s">
        <v>201</v>
      </c>
      <c r="B29" s="24" t="s">
        <v>125</v>
      </c>
      <c r="C29" s="21" t="s">
        <v>202</v>
      </c>
      <c r="D29" s="25" t="s">
        <v>203</v>
      </c>
      <c r="E29" s="19" t="s">
        <v>128</v>
      </c>
    </row>
    <row r="30" customFormat="false" ht="27.75" hidden="false" customHeight="true" outlineLevel="0" collapsed="false">
      <c r="A30" s="21" t="s">
        <v>204</v>
      </c>
      <c r="B30" s="26" t="s">
        <v>133</v>
      </c>
      <c r="C30" s="21" t="s">
        <v>205</v>
      </c>
      <c r="D30" s="25" t="s">
        <v>206</v>
      </c>
      <c r="E30" s="19" t="s">
        <v>128</v>
      </c>
    </row>
    <row r="31" customFormat="false" ht="27.75" hidden="false" customHeight="true" outlineLevel="0" collapsed="false">
      <c r="A31" s="21" t="s">
        <v>207</v>
      </c>
      <c r="B31" s="26" t="s">
        <v>133</v>
      </c>
      <c r="C31" s="21" t="s">
        <v>208</v>
      </c>
      <c r="D31" s="25" t="s">
        <v>209</v>
      </c>
      <c r="E31" s="19" t="s">
        <v>128</v>
      </c>
    </row>
    <row r="32" customFormat="false" ht="27.75" hidden="false" customHeight="true" outlineLevel="0" collapsed="false">
      <c r="A32" s="21" t="s">
        <v>210</v>
      </c>
      <c r="B32" s="26" t="s">
        <v>133</v>
      </c>
      <c r="C32" s="21" t="s">
        <v>211</v>
      </c>
      <c r="D32" s="25" t="s">
        <v>212</v>
      </c>
      <c r="E32" s="19" t="s">
        <v>128</v>
      </c>
    </row>
    <row r="33" customFormat="false" ht="27.75" hidden="false" customHeight="true" outlineLevel="0" collapsed="false">
      <c r="A33" s="21" t="s">
        <v>213</v>
      </c>
      <c r="B33" s="24" t="s">
        <v>125</v>
      </c>
      <c r="C33" s="21" t="s">
        <v>214</v>
      </c>
      <c r="D33" s="25" t="s">
        <v>215</v>
      </c>
      <c r="E33" s="19" t="s">
        <v>128</v>
      </c>
    </row>
    <row r="34" customFormat="false" ht="27.75" hidden="false" customHeight="true" outlineLevel="0" collapsed="false">
      <c r="A34" s="21" t="s">
        <v>216</v>
      </c>
      <c r="B34" s="24" t="s">
        <v>125</v>
      </c>
      <c r="C34" s="21" t="s">
        <v>130</v>
      </c>
      <c r="D34" s="25" t="s">
        <v>217</v>
      </c>
      <c r="E34" s="19" t="s">
        <v>128</v>
      </c>
    </row>
    <row r="35" customFormat="false" ht="27.75" hidden="false" customHeight="true" outlineLevel="0" collapsed="false">
      <c r="A35" s="21" t="s">
        <v>218</v>
      </c>
      <c r="B35" s="24" t="s">
        <v>125</v>
      </c>
      <c r="C35" s="21" t="s">
        <v>150</v>
      </c>
      <c r="D35" s="25" t="s">
        <v>219</v>
      </c>
      <c r="E35" s="19" t="s">
        <v>128</v>
      </c>
    </row>
    <row r="36" customFormat="false" ht="27.75" hidden="false" customHeight="true" outlineLevel="0" collapsed="false">
      <c r="A36" s="21" t="s">
        <v>220</v>
      </c>
      <c r="B36" s="30" t="s">
        <v>221</v>
      </c>
      <c r="C36" s="21" t="s">
        <v>222</v>
      </c>
      <c r="D36" s="25" t="s">
        <v>223</v>
      </c>
      <c r="E36" s="19" t="s">
        <v>128</v>
      </c>
    </row>
    <row r="37" customFormat="false" ht="27.75" hidden="false" customHeight="true" outlineLevel="0" collapsed="false">
      <c r="A37" s="21" t="s">
        <v>224</v>
      </c>
      <c r="B37" s="24" t="s">
        <v>125</v>
      </c>
      <c r="C37" s="21" t="s">
        <v>225</v>
      </c>
      <c r="D37" s="25" t="s">
        <v>226</v>
      </c>
      <c r="E37" s="19" t="s">
        <v>128</v>
      </c>
    </row>
    <row r="38" customFormat="false" ht="27.75" hidden="false" customHeight="true" outlineLevel="0" collapsed="false">
      <c r="A38" s="21" t="s">
        <v>227</v>
      </c>
      <c r="B38" s="27" t="s">
        <v>146</v>
      </c>
      <c r="C38" s="21" t="s">
        <v>228</v>
      </c>
      <c r="D38" s="25" t="s">
        <v>229</v>
      </c>
      <c r="E38" s="19" t="s">
        <v>128</v>
      </c>
    </row>
    <row r="39" customFormat="false" ht="27.75" hidden="false" customHeight="true" outlineLevel="0" collapsed="false">
      <c r="A39" s="21" t="s">
        <v>230</v>
      </c>
      <c r="B39" s="24" t="s">
        <v>125</v>
      </c>
      <c r="C39" s="21" t="s">
        <v>126</v>
      </c>
      <c r="D39" s="25" t="s">
        <v>231</v>
      </c>
      <c r="E39" s="19" t="s">
        <v>128</v>
      </c>
    </row>
    <row r="40" customFormat="false" ht="27.75" hidden="false" customHeight="true" outlineLevel="0" collapsed="false">
      <c r="A40" s="21" t="s">
        <v>232</v>
      </c>
      <c r="B40" s="26" t="s">
        <v>133</v>
      </c>
      <c r="C40" s="21" t="s">
        <v>233</v>
      </c>
      <c r="D40" s="25" t="s">
        <v>234</v>
      </c>
      <c r="E40" s="19" t="s">
        <v>128</v>
      </c>
    </row>
    <row r="41" customFormat="false" ht="27.75" hidden="false" customHeight="true" outlineLevel="0" collapsed="false">
      <c r="A41" s="21" t="s">
        <v>235</v>
      </c>
      <c r="B41" s="26" t="s">
        <v>133</v>
      </c>
      <c r="C41" s="21" t="s">
        <v>236</v>
      </c>
      <c r="D41" s="25" t="s">
        <v>237</v>
      </c>
      <c r="E41" s="19" t="s">
        <v>128</v>
      </c>
    </row>
    <row r="42" customFormat="false" ht="27.75" hidden="false" customHeight="true" outlineLevel="0" collapsed="false">
      <c r="A42" s="21" t="s">
        <v>238</v>
      </c>
      <c r="B42" s="26" t="s">
        <v>133</v>
      </c>
      <c r="C42" s="21" t="s">
        <v>239</v>
      </c>
      <c r="D42" s="25" t="s">
        <v>240</v>
      </c>
      <c r="E42" s="19" t="s">
        <v>128</v>
      </c>
    </row>
    <row r="43" customFormat="false" ht="27.75" hidden="false" customHeight="true" outlineLevel="0" collapsed="false">
      <c r="A43" s="21" t="s">
        <v>241</v>
      </c>
      <c r="B43" s="24" t="s">
        <v>125</v>
      </c>
      <c r="C43" s="21" t="s">
        <v>126</v>
      </c>
      <c r="D43" s="25" t="s">
        <v>242</v>
      </c>
      <c r="E43" s="19" t="s">
        <v>128</v>
      </c>
    </row>
    <row r="44" customFormat="false" ht="27.75" hidden="false" customHeight="true" outlineLevel="0" collapsed="false">
      <c r="A44" s="21" t="s">
        <v>243</v>
      </c>
      <c r="B44" s="28" t="s">
        <v>159</v>
      </c>
      <c r="C44" s="21" t="s">
        <v>244</v>
      </c>
      <c r="D44" s="25" t="s">
        <v>245</v>
      </c>
      <c r="E44" s="19" t="s">
        <v>128</v>
      </c>
    </row>
    <row r="45" customFormat="false" ht="27.75" hidden="false" customHeight="true" outlineLevel="0" collapsed="false">
      <c r="A45" s="21" t="s">
        <v>246</v>
      </c>
      <c r="B45" s="28" t="s">
        <v>159</v>
      </c>
      <c r="C45" s="21" t="s">
        <v>150</v>
      </c>
      <c r="D45" s="25" t="s">
        <v>247</v>
      </c>
      <c r="E45" s="19" t="s">
        <v>248</v>
      </c>
    </row>
    <row r="46" customFormat="false" ht="27.75" hidden="false" customHeight="true" outlineLevel="0" collapsed="false">
      <c r="A46" s="21" t="s">
        <v>249</v>
      </c>
      <c r="B46" s="29" t="s">
        <v>165</v>
      </c>
      <c r="C46" s="21" t="s">
        <v>180</v>
      </c>
      <c r="D46" s="25" t="s">
        <v>250</v>
      </c>
      <c r="E46" s="19" t="s">
        <v>128</v>
      </c>
    </row>
    <row r="47" customFormat="false" ht="27.75" hidden="false" customHeight="true" outlineLevel="0" collapsed="false">
      <c r="A47" s="21" t="s">
        <v>251</v>
      </c>
      <c r="B47" s="26" t="s">
        <v>133</v>
      </c>
      <c r="C47" s="21" t="s">
        <v>252</v>
      </c>
      <c r="D47" s="25" t="s">
        <v>253</v>
      </c>
      <c r="E47" s="19" t="s">
        <v>128</v>
      </c>
    </row>
    <row r="48" customFormat="false" ht="27.75" hidden="false" customHeight="true" outlineLevel="0" collapsed="false">
      <c r="A48" s="21" t="s">
        <v>254</v>
      </c>
      <c r="B48" s="31" t="s">
        <v>255</v>
      </c>
      <c r="C48" s="21" t="s">
        <v>256</v>
      </c>
      <c r="D48" s="25" t="s">
        <v>257</v>
      </c>
      <c r="E48" s="19" t="s">
        <v>128</v>
      </c>
    </row>
    <row r="49" customFormat="false" ht="27.75" hidden="false" customHeight="true" outlineLevel="0" collapsed="false">
      <c r="A49" s="21" t="s">
        <v>258</v>
      </c>
      <c r="B49" s="27" t="s">
        <v>146</v>
      </c>
      <c r="C49" s="21" t="s">
        <v>259</v>
      </c>
      <c r="D49" s="25" t="s">
        <v>260</v>
      </c>
      <c r="E49" s="19" t="s">
        <v>128</v>
      </c>
    </row>
    <row r="50" customFormat="false" ht="27.75" hidden="false" customHeight="true" outlineLevel="0" collapsed="false">
      <c r="A50" s="21" t="s">
        <v>261</v>
      </c>
      <c r="B50" s="26" t="s">
        <v>133</v>
      </c>
      <c r="C50" s="21" t="s">
        <v>262</v>
      </c>
      <c r="D50" s="25" t="s">
        <v>263</v>
      </c>
      <c r="E50" s="19" t="s">
        <v>128</v>
      </c>
    </row>
    <row r="51" customFormat="false" ht="27.75" hidden="false" customHeight="true" outlineLevel="0" collapsed="false">
      <c r="A51" s="21" t="s">
        <v>264</v>
      </c>
      <c r="B51" s="26" t="s">
        <v>133</v>
      </c>
      <c r="C51" s="21" t="s">
        <v>265</v>
      </c>
      <c r="D51" s="25" t="s">
        <v>266</v>
      </c>
      <c r="E51" s="19" t="s">
        <v>128</v>
      </c>
    </row>
    <row r="52" customFormat="false" ht="27.75" hidden="false" customHeight="true" outlineLevel="0" collapsed="false">
      <c r="A52" s="21" t="s">
        <v>267</v>
      </c>
      <c r="B52" s="26" t="s">
        <v>133</v>
      </c>
      <c r="C52" s="21" t="s">
        <v>268</v>
      </c>
      <c r="D52" s="25" t="s">
        <v>269</v>
      </c>
      <c r="E52" s="19" t="s">
        <v>128</v>
      </c>
    </row>
    <row r="53" customFormat="false" ht="27.75" hidden="false" customHeight="true" outlineLevel="0" collapsed="false">
      <c r="A53" s="21" t="s">
        <v>270</v>
      </c>
      <c r="B53" s="28" t="s">
        <v>159</v>
      </c>
      <c r="C53" s="21" t="s">
        <v>271</v>
      </c>
      <c r="D53" s="25" t="s">
        <v>272</v>
      </c>
      <c r="E53" s="19" t="s">
        <v>128</v>
      </c>
    </row>
    <row r="54" customFormat="false" ht="27.75" hidden="false" customHeight="true" outlineLevel="0" collapsed="false">
      <c r="A54" s="21" t="s">
        <v>273</v>
      </c>
      <c r="B54" s="24" t="s">
        <v>125</v>
      </c>
      <c r="C54" s="21" t="s">
        <v>274</v>
      </c>
      <c r="D54" s="25" t="s">
        <v>275</v>
      </c>
      <c r="E54" s="19" t="s">
        <v>128</v>
      </c>
    </row>
    <row r="55" customFormat="false" ht="27.75" hidden="false" customHeight="true" outlineLevel="0" collapsed="false">
      <c r="A55" s="21" t="s">
        <v>276</v>
      </c>
      <c r="B55" s="28" t="s">
        <v>159</v>
      </c>
      <c r="C55" s="21" t="s">
        <v>277</v>
      </c>
      <c r="D55" s="25" t="s">
        <v>278</v>
      </c>
      <c r="E55" s="19" t="s">
        <v>128</v>
      </c>
    </row>
    <row r="56" customFormat="false" ht="27.75" hidden="false" customHeight="true" outlineLevel="0" collapsed="false">
      <c r="A56" s="21" t="s">
        <v>279</v>
      </c>
      <c r="B56" s="30" t="s">
        <v>221</v>
      </c>
      <c r="C56" s="21" t="s">
        <v>280</v>
      </c>
      <c r="D56" s="25" t="s">
        <v>281</v>
      </c>
      <c r="E56" s="19" t="s">
        <v>128</v>
      </c>
    </row>
    <row r="57" customFormat="false" ht="27.75" hidden="false" customHeight="true" outlineLevel="0" collapsed="false">
      <c r="A57" s="21" t="s">
        <v>282</v>
      </c>
      <c r="B57" s="26" t="s">
        <v>133</v>
      </c>
      <c r="C57" s="21" t="s">
        <v>283</v>
      </c>
      <c r="D57" s="25" t="s">
        <v>284</v>
      </c>
      <c r="E57" s="19" t="s">
        <v>128</v>
      </c>
    </row>
    <row r="58" customFormat="false" ht="27.75" hidden="false" customHeight="true" outlineLevel="0" collapsed="false">
      <c r="A58" s="21" t="s">
        <v>285</v>
      </c>
      <c r="B58" s="26" t="s">
        <v>133</v>
      </c>
      <c r="C58" s="21" t="s">
        <v>286</v>
      </c>
      <c r="D58" s="25" t="s">
        <v>287</v>
      </c>
      <c r="E58" s="19" t="s">
        <v>128</v>
      </c>
    </row>
    <row r="59" customFormat="false" ht="27.75" hidden="false" customHeight="true" outlineLevel="0" collapsed="false">
      <c r="A59" s="21" t="s">
        <v>288</v>
      </c>
      <c r="B59" s="28" t="s">
        <v>159</v>
      </c>
      <c r="C59" s="21" t="s">
        <v>289</v>
      </c>
      <c r="D59" s="25" t="s">
        <v>290</v>
      </c>
      <c r="E59" s="19" t="s">
        <v>128</v>
      </c>
    </row>
    <row r="60" customFormat="false" ht="27.75" hidden="false" customHeight="true" outlineLevel="0" collapsed="false">
      <c r="A60" s="21" t="s">
        <v>291</v>
      </c>
      <c r="B60" s="29" t="s">
        <v>165</v>
      </c>
      <c r="C60" s="21" t="s">
        <v>292</v>
      </c>
      <c r="D60" s="25" t="s">
        <v>293</v>
      </c>
      <c r="E60" s="19" t="s">
        <v>128</v>
      </c>
    </row>
    <row r="61" customFormat="false" ht="27.75" hidden="false" customHeight="true" outlineLevel="0" collapsed="false">
      <c r="A61" s="21" t="s">
        <v>294</v>
      </c>
      <c r="B61" s="30" t="s">
        <v>295</v>
      </c>
      <c r="C61" s="21" t="s">
        <v>222</v>
      </c>
      <c r="D61" s="25" t="s">
        <v>296</v>
      </c>
      <c r="E61" s="19" t="s">
        <v>128</v>
      </c>
    </row>
    <row r="62" customFormat="false" ht="27.75" hidden="false" customHeight="true" outlineLevel="0" collapsed="false">
      <c r="A62" s="21" t="s">
        <v>297</v>
      </c>
      <c r="B62" s="29" t="s">
        <v>165</v>
      </c>
      <c r="C62" s="21" t="s">
        <v>298</v>
      </c>
      <c r="D62" s="25" t="s">
        <v>299</v>
      </c>
      <c r="E62" s="19" t="s">
        <v>128</v>
      </c>
    </row>
    <row r="63" customFormat="false" ht="27.75" hidden="false" customHeight="true" outlineLevel="0" collapsed="false">
      <c r="A63" s="21" t="s">
        <v>300</v>
      </c>
      <c r="B63" s="32" t="s">
        <v>301</v>
      </c>
      <c r="C63" s="21" t="s">
        <v>302</v>
      </c>
      <c r="D63" s="21" t="s">
        <v>303</v>
      </c>
      <c r="E63" s="19" t="s">
        <v>304</v>
      </c>
    </row>
  </sheetData>
  <mergeCells count="1">
    <mergeCell ref="A1:E1"/>
  </mergeCells>
  <hyperlinks>
    <hyperlink ref="D4" r:id="rId1" display="https://docs.anthropic.com/en/docs/build-with-claude/prompt-engineering/overview"/>
    <hyperlink ref="D5" r:id="rId2" display="https://platform.openai.com/docs/guides/prompt-engineering"/>
    <hyperlink ref="D6" r:id="rId3" display="https://arxiv.org/abs/2302.11382"/>
    <hyperlink ref="D7" r:id="rId4" display="https://arxiv.org/abs/2201.11903"/>
    <hyperlink ref="D8" r:id="rId5" display="https://arxiv.org/abs/2203.11171"/>
    <hyperlink ref="D9" r:id="rId6" display="https://arxiv.org/abs/2305.10601"/>
    <hyperlink ref="D10" r:id="rId7" display="https://www.promptingguide.ai/techniques/fewshot"/>
    <hyperlink ref="D11" r:id="rId8" display="https://python.langchain.com/docs/concepts/prompt_templates/"/>
    <hyperlink ref="D12" r:id="rId9" display="https://lilianweng.github.io/posts/2023-03-15-prompt-engineering/"/>
    <hyperlink ref="D13" r:id="rId10" display="https://jinja.palletsprojects.com/"/>
    <hyperlink ref="D14" r:id="rId11" display="https://www.promptfoo.dev/docs/intro/"/>
    <hyperlink ref="D15" r:id="rId12" display="https://docs.anthropic.com/en/docs/test-and-evaluate/develop-tests"/>
    <hyperlink ref="D16" r:id="rId13" display="https://www.evanmiller.org/ab-testing/"/>
    <hyperlink ref="D17" r:id="rId14" display="https://arxiv.org/abs/2210.03629"/>
    <hyperlink ref="D18" r:id="rId15" display="https://blog.langchain.dev/"/>
    <hyperlink ref="D19" r:id="rId16" display="https://arxiv.org/abs/2406.18665"/>
    <hyperlink ref="D20" r:id="rId17" display="https://arxiv.org/abs/2305.05176"/>
    <hyperlink ref="D21" r:id="rId18" display="https://eugeneyan.com/writing/llm-patterns/"/>
    <hyperlink ref="D22" r:id="rId19" display="https://github.com/openai/tiktoken"/>
    <hyperlink ref="D23" r:id="rId20" display="https://docs.anthropic.com/en/api/messages-count-tokens"/>
    <hyperlink ref="D24" r:id="rId21" display="https://arxiv.org/abs/2310.08560"/>
    <hyperlink ref="D25" r:id="rId22" display="https://arxiv.org/abs/2307.03172"/>
    <hyperlink ref="D26" r:id="rId23" display="https://arxiv.org/abs/2109.10862"/>
    <hyperlink ref="D27" r:id="rId24" display="https://github.com/zilliztech/GPTCache"/>
    <hyperlink ref="D28" r:id="rId25" display="https://arxiv.org/abs/2406.00025"/>
    <hyperlink ref="D29" r:id="rId26" display="https://redis.io/docs/latest/develop/get-started/vector-database/"/>
    <hyperlink ref="D30" r:id="rId27" display="https://arxiv.org/abs/2309.06180"/>
    <hyperlink ref="D31" r:id="rId28" display="https://arxiv.org/abs/2205.14135"/>
    <hyperlink ref="D32" r:id="rId29" display="https://arxiv.org/abs/2307.08691"/>
    <hyperlink ref="D33" r:id="rId30" location="streamingresponse" display="https://fastapi.tiangolo.com/advanced/custom-response/#streamingresponse"/>
    <hyperlink ref="D34" r:id="rId31" display="https://platform.openai.com/docs/api-reference/streaming"/>
    <hyperlink ref="D35" r:id="rId32" display="https://python.langchain.com/docs/concepts/streaming/"/>
    <hyperlink ref="D36" r:id="rId33" display="https://sre.google/sre-book/service-level-objectives/"/>
    <hyperlink ref="D37" r:id="rId34" display="https://docs.datadoghq.com/service_management/service_level_objectives/"/>
    <hyperlink ref="D38" r:id="rId35" display="https://huggingface.co/blog/optimum-nvidia"/>
    <hyperlink ref="D39" r:id="rId36" display="https://docs.anthropic.com/en/docs/build-with-claude/prompt-caching"/>
    <hyperlink ref="D40" r:id="rId37" display="https://arxiv.org/abs/2310.05736"/>
    <hyperlink ref="D41" r:id="rId38" display="https://arxiv.org/abs/2305.14314"/>
    <hyperlink ref="D42" r:id="rId39" display="https://arxiv.org/abs/2106.09685"/>
    <hyperlink ref="D43" r:id="rId40" display="https://docs.anthropic.com/en/docs/build-with-claude/fine-tuning"/>
    <hyperlink ref="D44" r:id="rId41" display="https://langfuse.com/docs"/>
    <hyperlink ref="D45" r:id="rId42" display="https://docs.smith.langchain.com/"/>
    <hyperlink ref="D46" r:id="rId43" display="https://eugeneyan.com/writing/llm-evaluation/"/>
    <hyperlink ref="D47" r:id="rId44" display="https://arxiv.org/abs/2307.15043"/>
    <hyperlink ref="D48" r:id="rId45" display="https://owasp.org/www-project-top-10-for-large-language-model-applications/"/>
    <hyperlink ref="D49" r:id="rId46" display="https://simonwillison.net/tags/prompt-injection/"/>
    <hyperlink ref="D50" r:id="rId47" display="https://arxiv.org/abs/2402.06196"/>
    <hyperlink ref="D51" r:id="rId48" display="https://arxiv.org/abs/2312.06674"/>
    <hyperlink ref="D52" r:id="rId49" display="https://arxiv.org/abs/2212.08073"/>
    <hyperlink ref="D53" r:id="rId50" display="https://www.perspectiveapi.com/"/>
    <hyperlink ref="D54" r:id="rId51" display="https://learn.microsoft.com/en-us/azure/architecture/patterns/circuit-breaker"/>
    <hyperlink ref="D55" r:id="rId52" display="https://tenacity.readthedocs.io/"/>
    <hyperlink ref="D56" r:id="rId53" display="https://www.enterpriseintegrationpatterns.com/"/>
    <hyperlink ref="D57" r:id="rId54" display="https://arxiv.org/abs/2303.16634"/>
    <hyperlink ref="D58" r:id="rId55" display="https://arxiv.org/abs/2306.05685"/>
    <hyperlink ref="D59" r:id="rId56" display="https://docs.evidentlyai.com/"/>
    <hyperlink ref="D60" r:id="rId57" display="https://www.lesswrong.com/posts/jtoPawEhLNXNxvgTT/bing-chat-is-blatantly-aggressively-misaligned"/>
    <hyperlink ref="D61" r:id="rId58" display="https://sre.google/sre-book/postmortem-culture/"/>
    <hyperlink ref="D62" r:id="rId59" display="https://response.pagerduty.com/after/post_mortem_proces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2026-05-08T12:07:26Z</dcterms:created>
  <dc:creator>openpyxl</dc:creator>
  <dc:description/>
  <dc:language>en-US</dc:language>
  <cp:lastModifiedBy/>
  <dcterms:modified xsi:type="dcterms:W3CDTF">2026-05-08T12:07:26Z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